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cceew2.sharepoint.com/sites/DCCEEW-DSaD/Shared Documents/Web Pubs/DCCEEW/Climate Change/Publications/"/>
    </mc:Choice>
  </mc:AlternateContent>
  <xr:revisionPtr revIDLastSave="296" documentId="8_{CAEA2008-3E2C-4A96-8A2D-304486606DEF}" xr6:coauthVersionLast="47" xr6:coauthVersionMax="47" xr10:uidLastSave="{6E656254-8D76-4F15-A940-B14411B375CD}"/>
  <bookViews>
    <workbookView xWindow="2730" yWindow="795" windowWidth="18570" windowHeight="15405" tabRatio="849" xr2:uid="{00000000-000D-0000-FFFF-FFFF00000000}"/>
  </bookViews>
  <sheets>
    <sheet name="Introduction" sheetId="21" r:id="rId1"/>
    <sheet name="Table 1" sheetId="2" r:id="rId2"/>
    <sheet name="Table 2" sheetId="24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5" r:id="rId20"/>
    <sheet name="Table 25" sheetId="26" r:id="rId21"/>
    <sheet name="Table 26" sheetId="27" r:id="rId22"/>
    <sheet name="Table 27" sheetId="28" r:id="rId23"/>
    <sheet name="Table 28" sheetId="29" r:id="rId24"/>
    <sheet name="Table 29" sheetId="30" r:id="rId25"/>
    <sheet name="Energy - Scope 1 " sheetId="22" r:id="rId26"/>
    <sheet name="Energy - Scope 3" sheetId="23" r:id="rId27"/>
  </sheets>
  <definedNames>
    <definedName name="_xlnm._FilterDatabase" localSheetId="25" hidden="1">'Energy - Scope 1 '!$A$4:$L$58</definedName>
    <definedName name="_xlnm._FilterDatabase" localSheetId="26" hidden="1">'Energy - Scope 3'!$A$4:$I$4</definedName>
    <definedName name="_ftn1" localSheetId="11">'Table 11'!#REF!</definedName>
    <definedName name="_ftnref1" localSheetId="11">'Table 11'!$A$3</definedName>
    <definedName name="_Ref109238417" localSheetId="1">'Table 1'!$A$1</definedName>
    <definedName name="_Ref110614929" localSheetId="12">'Table 12'!$A$1</definedName>
    <definedName name="_Ref112776960" localSheetId="10">'Table 10'!$A$1</definedName>
    <definedName name="_Ref112777011" localSheetId="9">'Table 9'!$A$1</definedName>
    <definedName name="_Ref112777825" localSheetId="11">'Table 11'!$A$1</definedName>
    <definedName name="_Ref112778789" localSheetId="16">'Table 16'!$A$1</definedName>
    <definedName name="_Ref113010083" localSheetId="17">'Table 17'!$A$1</definedName>
    <definedName name="_Ref113010721" localSheetId="18">'Table 18'!$A$1</definedName>
    <definedName name="_Ref113286384" localSheetId="21">'Table 26'!$A$1</definedName>
    <definedName name="_Ref114225525" localSheetId="20">'Table 25'!$A$1</definedName>
    <definedName name="_Ref12874733" localSheetId="3">'Table 3'!$A$1</definedName>
    <definedName name="_Ref12874802" localSheetId="4">'Table 4'!$A$1</definedName>
    <definedName name="_Ref12874843" localSheetId="7">'Table 7'!$A$1</definedName>
    <definedName name="_Ref12877349" localSheetId="13">'Table 13'!$A$1</definedName>
    <definedName name="_Ref12877968" localSheetId="5">'Table 5'!$A$1</definedName>
    <definedName name="_Ref12877981" localSheetId="6">'Table 6'!$A$1</definedName>
    <definedName name="_Ref12878043" localSheetId="14">'Table 14'!$A$1</definedName>
    <definedName name="_Toc126771384" localSheetId="2">'Table 2'!$A$1</definedName>
    <definedName name="_Toc175924057" localSheetId="4">'Table 4'!$A$1</definedName>
    <definedName name="_Toc175924058" localSheetId="5">'Table 5'!$A$1</definedName>
    <definedName name="_Toc175924059" localSheetId="6">'Table 6'!$A$1</definedName>
    <definedName name="_Toc175924060" localSheetId="7">'Table 7'!$A$1</definedName>
    <definedName name="_Toc175924061" localSheetId="8">'Table 8'!$A$1</definedName>
    <definedName name="_Toc175924062" localSheetId="9">'Table 9'!$A$1</definedName>
    <definedName name="_Toc175924064" localSheetId="11">'Table 11'!$A$1</definedName>
    <definedName name="_Toc175924065" localSheetId="12">'Table 12'!$A$1</definedName>
    <definedName name="_Toc175924066" localSheetId="13">'Table 13'!$A$1</definedName>
    <definedName name="_Toc175924067" localSheetId="14">'Table 14'!$A$1</definedName>
    <definedName name="_Toc175924068" localSheetId="15">'Table 15'!$A$1</definedName>
    <definedName name="_Toc175924069" localSheetId="16">'Table 16'!$A$1</definedName>
    <definedName name="_Toc175924070" localSheetId="17">'Table 17'!$A$1</definedName>
    <definedName name="_Toc175924071" localSheetId="18">'Table 18'!$A$1</definedName>
    <definedName name="_Toc175924072" localSheetId="19">'Table 19'!$A$1</definedName>
    <definedName name="_Toc175924080" localSheetId="22">'Table 27'!$A$1</definedName>
    <definedName name="_Toc175924081" localSheetId="23">'Table 28'!$A$1</definedName>
    <definedName name="_Toc175924082" localSheetId="24">'Table 29'!$A$1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22" l="1"/>
  <c r="I79" i="22"/>
  <c r="I64" i="22"/>
  <c r="I63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80" i="22"/>
  <c r="I81" i="22"/>
</calcChain>
</file>

<file path=xl/sharedStrings.xml><?xml version="1.0" encoding="utf-8"?>
<sst xmlns="http://schemas.openxmlformats.org/spreadsheetml/2006/main" count="1130" uniqueCount="343">
  <si>
    <t>Australian National Greenhouse Accounts Factors</t>
  </si>
  <si>
    <t>http://www.dcceew.gov.au/</t>
  </si>
  <si>
    <t>State, Territory or grid description</t>
  </si>
  <si>
    <t>Scope 2 Emission Factors</t>
  </si>
  <si>
    <t>New South Wales and Australian Capital Territory</t>
  </si>
  <si>
    <t>Victoria</t>
  </si>
  <si>
    <t>Queensland</t>
  </si>
  <si>
    <t>South Australia</t>
  </si>
  <si>
    <t>Tasmania</t>
  </si>
  <si>
    <t>National</t>
  </si>
  <si>
    <t>Electricity grid</t>
  </si>
  <si>
    <t>Western Australia - North Western Interconnected System (NWIS)</t>
  </si>
  <si>
    <t>Off-grid</t>
  </si>
  <si>
    <t>Energy Content factor</t>
  </si>
  <si>
    <t>Scope 3 Emission Factor</t>
  </si>
  <si>
    <t>GJ/t</t>
  </si>
  <si>
    <t>Bituminous coal</t>
  </si>
  <si>
    <t>Sub-bituminous coal</t>
  </si>
  <si>
    <t>Anthracite</t>
  </si>
  <si>
    <t>NE</t>
  </si>
  <si>
    <t>Brown coal (lignite)</t>
  </si>
  <si>
    <t>Coking coal</t>
  </si>
  <si>
    <t>Coal briquettes</t>
  </si>
  <si>
    <t>Coal coke</t>
  </si>
  <si>
    <t>Coal tar</t>
  </si>
  <si>
    <t>Solid fossil fuels other than those mentioned in the items above</t>
  </si>
  <si>
    <t>Industrial materials that are derived from fossil fuels, if recycled and combusted to produce heat or electricity</t>
  </si>
  <si>
    <t xml:space="preserve">Passenger car tyres, if recycled and combusted to produce heat or electricity  </t>
  </si>
  <si>
    <t xml:space="preserve">Truck and off-road tyres, if recycled and combusted to produce heat or electricity </t>
  </si>
  <si>
    <t>Non‑biomass municipal materials, if combusted to produce heat or electricity</t>
  </si>
  <si>
    <t>Dry wood</t>
  </si>
  <si>
    <t>Green and air dried wood</t>
  </si>
  <si>
    <t>Sulphite lyes</t>
  </si>
  <si>
    <t>Bagasse</t>
  </si>
  <si>
    <t>Biomass, municipal and industrial materials, if combusted to produce heat or electricity</t>
  </si>
  <si>
    <t>Charcoal</t>
  </si>
  <si>
    <t>Primary solid biomass fuels other than those mentioned in the items above</t>
  </si>
  <si>
    <t>Fuel combusted</t>
  </si>
  <si>
    <t>Energy content factor</t>
  </si>
  <si>
    <t>Combined gases</t>
  </si>
  <si>
    <t>Natural gas distributed in a pipeline</t>
  </si>
  <si>
    <t>Coal seam methane that is captured for combustion</t>
  </si>
  <si>
    <t>Coal mine waste gas that is captured for combustion</t>
  </si>
  <si>
    <t>Compressed natural gas (reverting to standard conditions)</t>
  </si>
  <si>
    <t>Unprocessed natural gas</t>
  </si>
  <si>
    <t>Ethane</t>
  </si>
  <si>
    <t>Coke oven gas</t>
  </si>
  <si>
    <t>Blast furnace gas</t>
  </si>
  <si>
    <t>Town gas</t>
  </si>
  <si>
    <t>Liquefied natural gas</t>
  </si>
  <si>
    <t>Gaseous fossil fuels other than those mentioned in the items above</t>
  </si>
  <si>
    <t>Landfill biogas that is captured for combustion (methane only)</t>
  </si>
  <si>
    <t>Sludge biogas that is captured for combustion (methane only)</t>
  </si>
  <si>
    <t>A biogas that is captured for combustion, other than those mentioned in the items above</t>
  </si>
  <si>
    <t>Biomethane</t>
  </si>
  <si>
    <t>State or territory</t>
  </si>
  <si>
    <t>Metro</t>
  </si>
  <si>
    <t>New South Wales and ACT</t>
  </si>
  <si>
    <t>Western Australia</t>
  </si>
  <si>
    <t>C</t>
  </si>
  <si>
    <t>Northern Territory</t>
  </si>
  <si>
    <t>Ethane produced in accordance with Division 23 of Part 3 of the Clean Energy Regulations 2011</t>
  </si>
  <si>
    <t>New South Wales</t>
  </si>
  <si>
    <t>Emission factor</t>
  </si>
  <si>
    <t>(GJ per unit of fuel)</t>
  </si>
  <si>
    <t>Petroleum based oils (other than petroleum based oil used as fuel), e.g. lubricants</t>
  </si>
  <si>
    <t>Petroleum based greases</t>
  </si>
  <si>
    <t>Crude oil including crude oil condensates</t>
  </si>
  <si>
    <t>45.3 GJ/t</t>
  </si>
  <si>
    <t>Other natural gas liquids</t>
  </si>
  <si>
    <t>46.5 GJ/t</t>
  </si>
  <si>
    <t>Automotive gasoline/petrol (other than for use as fuel in an aircraft)</t>
  </si>
  <si>
    <t>Aviation gasoline</t>
  </si>
  <si>
    <t>Kerosene (other than for use as fuel in an aircraft)</t>
  </si>
  <si>
    <t xml:space="preserve">Aviation turbine fuel/kerosene </t>
  </si>
  <si>
    <t>36.8 GJ/kL</t>
  </si>
  <si>
    <t>Heating oil</t>
  </si>
  <si>
    <t>Diesel oil</t>
  </si>
  <si>
    <t>38.6 GJ/kL</t>
  </si>
  <si>
    <t>Fuel oil</t>
  </si>
  <si>
    <t>Liquefied aromatic hydrocarbons</t>
  </si>
  <si>
    <t>Solvents: mineral turpentine or white spirits</t>
  </si>
  <si>
    <t>Liquefied petroleum gas (LPG)</t>
  </si>
  <si>
    <t>Naphtha</t>
  </si>
  <si>
    <t>Petroleum coke</t>
  </si>
  <si>
    <t>34.2 GJ/t</t>
  </si>
  <si>
    <t>Refinery gas and liquids</t>
  </si>
  <si>
    <t>42.9 GJ/t</t>
  </si>
  <si>
    <t>Refinery coke</t>
  </si>
  <si>
    <t>Petroleum based products other than mentioned in the items above</t>
  </si>
  <si>
    <t>Biodiesel</t>
  </si>
  <si>
    <t>Ethanol for use as a fuel in an internal combustion engine</t>
  </si>
  <si>
    <t>Biofuels other than those mentioned in the items above and below</t>
  </si>
  <si>
    <t>Renewable aviation kerosene</t>
  </si>
  <si>
    <t>Renewable diesel</t>
  </si>
  <si>
    <t>Scope 1 Emission Factor</t>
  </si>
  <si>
    <t>Cars and light commercial vehicles</t>
  </si>
  <si>
    <t>Gasoline</t>
  </si>
  <si>
    <t>0.02*</t>
  </si>
  <si>
    <t>0.2*</t>
  </si>
  <si>
    <t>0.01*</t>
  </si>
  <si>
    <t>0.5*</t>
  </si>
  <si>
    <t>0.3*</t>
  </si>
  <si>
    <t>Ethanol</t>
  </si>
  <si>
    <t>Other biofuels</t>
  </si>
  <si>
    <t>Light duty vehicles</t>
  </si>
  <si>
    <t>Compressed natural gas</t>
  </si>
  <si>
    <r>
      <t>0.0393 GJ/m</t>
    </r>
    <r>
      <rPr>
        <vertAlign val="superscript"/>
        <sz val="11"/>
        <color theme="1"/>
        <rFont val="Calibri"/>
        <family val="2"/>
        <scheme val="minor"/>
      </rPr>
      <t>3</t>
    </r>
  </si>
  <si>
    <t>Heavy duty vehicles</t>
  </si>
  <si>
    <t>Diesel oil - Euro iv or higher</t>
  </si>
  <si>
    <t>Diesel oil - Euro iii</t>
  </si>
  <si>
    <t>Diesel oil - Euro i</t>
  </si>
  <si>
    <t>Aviation</t>
  </si>
  <si>
    <t>Gasoline for use as fuel in an aircraft</t>
  </si>
  <si>
    <t>Kerosene for use as fuel in an aircraft</t>
  </si>
  <si>
    <t xml:space="preserve">Product </t>
  </si>
  <si>
    <t>Annual leakage rate (%)</t>
  </si>
  <si>
    <t>Domestic refrigerators</t>
  </si>
  <si>
    <t>Transport refrigeration</t>
  </si>
  <si>
    <t>Domestic A/C portable</t>
  </si>
  <si>
    <t>Domestic A/C split</t>
  </si>
  <si>
    <t>Domestic A/C packaged</t>
  </si>
  <si>
    <t>Light vehicle A/C</t>
  </si>
  <si>
    <t>Heavy vehicle A/C</t>
  </si>
  <si>
    <t>Refrigerant</t>
  </si>
  <si>
    <t>Global Warming Potentials (AR5)</t>
  </si>
  <si>
    <t>R22 (HCFC-22)</t>
  </si>
  <si>
    <t>R32 (HFC-32)</t>
  </si>
  <si>
    <t>R134A (HFC-134A)</t>
  </si>
  <si>
    <t>Source of carbonate consumption</t>
  </si>
  <si>
    <t>Limestone (calcium carbonate)</t>
  </si>
  <si>
    <t>Magnesium carbonate</t>
  </si>
  <si>
    <t>Dolomite</t>
  </si>
  <si>
    <t>State or Territory</t>
  </si>
  <si>
    <t>Inorganic carbon content factor</t>
  </si>
  <si>
    <t>Australian Capital Territory</t>
  </si>
  <si>
    <t>Source</t>
  </si>
  <si>
    <t>Waste types</t>
  </si>
  <si>
    <t>Food</t>
  </si>
  <si>
    <t>Paper and cardboard</t>
  </si>
  <si>
    <t>Garden and green</t>
  </si>
  <si>
    <t>Wood</t>
  </si>
  <si>
    <t>Textiles</t>
  </si>
  <si>
    <t>Sludge</t>
  </si>
  <si>
    <t>Nappies</t>
  </si>
  <si>
    <t>Rubber and leather</t>
  </si>
  <si>
    <t>Inert waste (including concrete/metal/plastics/glass)</t>
  </si>
  <si>
    <t>-</t>
  </si>
  <si>
    <t>Waste stream</t>
  </si>
  <si>
    <t>Municipal solid waste</t>
  </si>
  <si>
    <t>Commercial and industrial waste</t>
  </si>
  <si>
    <t>Construction and demolition waste</t>
  </si>
  <si>
    <t>Wastewater Treatment Method</t>
  </si>
  <si>
    <t>Managed aerobic treatment</t>
  </si>
  <si>
    <t>Unmanaged aerobic treatment</t>
  </si>
  <si>
    <t>Anaerobic digester/reactor</t>
  </si>
  <si>
    <t>Anaerobic lagoon shallow (&lt;2 metres)</t>
  </si>
  <si>
    <t>Anaerobic lagoon deep (&gt;2 metres)</t>
  </si>
  <si>
    <t xml:space="preserve">Waste type </t>
  </si>
  <si>
    <t xml:space="preserve">Clinical Waste </t>
  </si>
  <si>
    <t xml:space="preserve">Sewage Sludge </t>
  </si>
  <si>
    <t xml:space="preserve">Fossil Liquid </t>
  </si>
  <si>
    <t xml:space="preserve">Industrial Waste </t>
  </si>
  <si>
    <t xml:space="preserve">Municipal Solid Waste 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</si>
  <si>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‑e/GJ</t>
    </r>
  </si>
  <si>
    <t>GJ/Unit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</si>
  <si>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 xml:space="preserve">‑e/unit </t>
    </r>
  </si>
  <si>
    <t>(relevant oxidation factors incorporated)</t>
  </si>
  <si>
    <t>(relevant unit indicated below)</t>
  </si>
  <si>
    <t xml:space="preserve">Fuel Type </t>
  </si>
  <si>
    <t xml:space="preserve">Fuel Combusted </t>
  </si>
  <si>
    <r>
      <t>CO</t>
    </r>
    <r>
      <rPr>
        <b/>
        <vertAlign val="subscript"/>
        <sz val="8"/>
        <rFont val="Arial"/>
        <family val="2"/>
      </rPr>
      <t>2</t>
    </r>
  </si>
  <si>
    <r>
      <t>CH</t>
    </r>
    <r>
      <rPr>
        <b/>
        <vertAlign val="subscript"/>
        <sz val="8"/>
        <rFont val="Arial"/>
        <family val="2"/>
      </rPr>
      <t>4</t>
    </r>
  </si>
  <si>
    <r>
      <t>N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O</t>
    </r>
  </si>
  <si>
    <t>Combined CO2-e/GJ</t>
  </si>
  <si>
    <t>GJ</t>
  </si>
  <si>
    <t xml:space="preserve">Unit </t>
  </si>
  <si>
    <t>CO2-e</t>
  </si>
  <si>
    <t xml:space="preserve">Scope </t>
  </si>
  <si>
    <t xml:space="preserve">Solid fuels </t>
  </si>
  <si>
    <t>kg CO2-e/t</t>
  </si>
  <si>
    <t>Gaseous fuels</t>
  </si>
  <si>
    <t>GJ/kL</t>
  </si>
  <si>
    <t>kg CO2-e/kL</t>
  </si>
  <si>
    <t>GJ/m3</t>
  </si>
  <si>
    <t>kg CO2-e/m3</t>
  </si>
  <si>
    <t xml:space="preserve">Liquid fuels </t>
  </si>
  <si>
    <t>Biofuels other than those mentioned in the items above</t>
  </si>
  <si>
    <t>Gasoline-Cars and light commercial vehicles</t>
  </si>
  <si>
    <t>Diesel oil-Cars and light commercial vehicles</t>
  </si>
  <si>
    <t>Liquefied petroleum gas (LPG)-Cars and light commercial vehicles</t>
  </si>
  <si>
    <t>Fuel oil-Cars and light commercial vehicles</t>
  </si>
  <si>
    <t>Ethanol-Cars and light commercial vehicles</t>
  </si>
  <si>
    <t>Biodiesel-Cars and light commercial vehicles</t>
  </si>
  <si>
    <t>Other biofuels-Cars and light commercial vehicles</t>
  </si>
  <si>
    <t>Liquefied natural gas-Light duty vehicles</t>
  </si>
  <si>
    <t>Liquefied natural gas-Heavy duty vehicles</t>
  </si>
  <si>
    <t>Diesel oil - Euro iv or higher-Heavy duty vehicles</t>
  </si>
  <si>
    <t>Diesel oil - Euro iii-Heavy duty vehicles</t>
  </si>
  <si>
    <t>Diesel oil - Euro i-Heavy duty vehicles</t>
  </si>
  <si>
    <t>Gasoline for use as fuel in an aircraft-Aviation</t>
  </si>
  <si>
    <t>Kerosene for use as fuel in an aircraft-Aviation</t>
  </si>
  <si>
    <t>Compressed natural gas-Light duty vehicles</t>
  </si>
  <si>
    <t>Compressed natural gas-Heavy duty vehicles</t>
  </si>
  <si>
    <t>kg CO2-e/GJ</t>
  </si>
  <si>
    <t>Natural Gas-Non-metro-New South Wales and ACT</t>
  </si>
  <si>
    <t>Natural Gas-Metro -New South Wales and ACT</t>
  </si>
  <si>
    <t>Natural Gas-Metro -South Australia</t>
  </si>
  <si>
    <t>Natural Gas-Non-metro-South Australia</t>
  </si>
  <si>
    <t>Natural Gas-Metro -Queensland</t>
  </si>
  <si>
    <t>Natural Gas-Non-metro-Queensland</t>
  </si>
  <si>
    <t>Natural Gas-Metro -Western Australia</t>
  </si>
  <si>
    <t>Natural Gas-Metro -Victoria</t>
  </si>
  <si>
    <t>Natural Gas-Non-metro-Victoria</t>
  </si>
  <si>
    <t>Natural Gas-Non-metro-Western Australia</t>
  </si>
  <si>
    <t>Ethane-New South Wales</t>
  </si>
  <si>
    <t>Ethane-Victoria</t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</si>
  <si>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-e/kWh)</t>
    </r>
  </si>
  <si>
    <t>Scope 3 Emission Factors</t>
  </si>
  <si>
    <t>Western Australia -</t>
  </si>
  <si>
    <t>South West Interconnected System (SWIS)</t>
  </si>
  <si>
    <t>Northern territory -</t>
  </si>
  <si>
    <t xml:space="preserve">Darwin Katherine Interconnected System (DKIS) </t>
  </si>
  <si>
    <t xml:space="preserve">National </t>
  </si>
  <si>
    <t>Residual Mix Factor for the market-based method</t>
  </si>
  <si>
    <t>Table 3: Indirect (scope 2) emission factors for electricity grids</t>
  </si>
  <si>
    <t xml:space="preserve">National Electricity Market (NEM) </t>
  </si>
  <si>
    <t xml:space="preserve">Western Australia - </t>
  </si>
  <si>
    <t>Darwin Katherine Interconnected System (DKIS)</t>
  </si>
  <si>
    <t>Table 4 Direct (scope 1) and Indirect (scope 3) emission factors for the combustion of solid fuels - including certain coal based products</t>
  </si>
  <si>
    <t>(GJ/t)</t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</si>
  <si>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‑e/GJ)</t>
    </r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</si>
  <si>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</si>
  <si>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</si>
  <si>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</si>
  <si>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 /GJ)</t>
    </r>
  </si>
  <si>
    <t xml:space="preserve">Bituminous coal </t>
  </si>
  <si>
    <t xml:space="preserve">Passenger car tyres, if recycled and combusted to produce heat or electricity </t>
  </si>
  <si>
    <t xml:space="preserve">Sulphite lyes </t>
  </si>
  <si>
    <t>Table 5 Direct (Scope 1) emission factors for the consumption of gaseous fuels including liquefied natural gas</t>
  </si>
  <si>
    <r>
      <t xml:space="preserve">(GJ/m3 </t>
    </r>
    <r>
      <rPr>
        <b/>
        <sz val="9"/>
        <color theme="1"/>
        <rFont val="Calibri"/>
        <family val="2"/>
        <scheme val="minor"/>
      </rPr>
      <t>unless otherwise indicated)</t>
    </r>
  </si>
  <si>
    <t>25.3 GJ/kL</t>
  </si>
  <si>
    <t>Table 6 Indirect (Scope 3) emission factors for the consumption of natural gas</t>
  </si>
  <si>
    <r>
      <t>Scope 3 Emission Factors for Natural Gas 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-e/GJ)</t>
    </r>
  </si>
  <si>
    <t>Non-Metro</t>
  </si>
  <si>
    <t>Table 7 Indirect (Scope 3) emission factors for the consumption of ethane</t>
  </si>
  <si>
    <r>
      <t>Scope 3 Emission Factors for Ethane 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 /GJ)</t>
    </r>
  </si>
  <si>
    <t>Table 8 Direct (Scope 1) and indirect (scope 3) emission factors for the consumption of liquid fuels, including certain petroleum based products for stationary energy purposes</t>
  </si>
  <si>
    <r>
      <t xml:space="preserve">38.8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</si>
  <si>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34.2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</si>
  <si>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33.1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</si>
  <si>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37.5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</si>
  <si>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36.8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</si>
  <si>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37.3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</si>
  <si>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38.6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</si>
  <si>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39.7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</si>
  <si>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34.4 </t>
    </r>
    <r>
      <rPr>
        <b/>
        <sz val="11"/>
        <color theme="1"/>
        <rFont val="Calibri"/>
        <family val="2"/>
        <scheme val="minor"/>
      </rPr>
      <t>GJ/kL</t>
    </r>
  </si>
  <si>
    <r>
      <t xml:space="preserve">25.7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</si>
  <si>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31.4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</si>
  <si>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34.6 </t>
    </r>
    <r>
      <rPr>
        <b/>
        <sz val="11"/>
        <color theme="1"/>
        <rFont val="Calibri"/>
        <family val="2"/>
        <scheme val="minor"/>
      </rPr>
      <t>GJ/kL</t>
    </r>
  </si>
  <si>
    <r>
      <t xml:space="preserve">23.4 </t>
    </r>
    <r>
      <rPr>
        <b/>
        <sz val="11"/>
        <color theme="1"/>
        <rFont val="Calibri"/>
        <family val="2"/>
        <scheme val="minor"/>
      </rPr>
      <t>GJ/kL</t>
    </r>
  </si>
  <si>
    <t>Table 9 Direct (scope 1) and indirect (scope 3) emission factors for the consumption of transport fuels in different transport equipment</t>
  </si>
  <si>
    <t>Transport type</t>
  </si>
  <si>
    <t>Renewable diesel – Euro iv or higher</t>
  </si>
  <si>
    <t>Renewable diesel – Euro iii</t>
  </si>
  <si>
    <t>Renewable diesel – Euro i</t>
  </si>
  <si>
    <t>Table 10 Indicative leakage rates for common refrigeration and air-conditioning equipment</t>
  </si>
  <si>
    <t>Table 11 Global warming potentials of common refrigerants</t>
  </si>
  <si>
    <t>R410A (HFC blend)</t>
  </si>
  <si>
    <t xml:space="preserve">R404A (HFC blend) </t>
  </si>
  <si>
    <t>Table 12 Direct (scope 1) emission factors for the calcination of carbonates</t>
  </si>
  <si>
    <r>
      <t>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/tonne)</t>
    </r>
  </si>
  <si>
    <t>Table 13 Direct (scope 1) emission factors for use of carbonates in clay materials by state and territory</t>
  </si>
  <si>
    <r>
      <t>Scope 1 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 clay material</t>
    </r>
  </si>
  <si>
    <t>Table 14 Direct (scope 1) emission factors for the consumption of soda ash</t>
  </si>
  <si>
    <r>
      <t>Scope 1 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</si>
  <si>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 xml:space="preserve">Soda Ash Use </t>
  </si>
  <si>
    <t>Table 15 Waste mix methane conversion factors and emission factors</t>
  </si>
  <si>
    <r>
      <t>Scope 3 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</si>
  <si>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r>
      <t>Volume to mass conversion factor (t/m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</si>
  <si>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Table 16 Indirect (scope 3) waste emission factors for total waste disposed to landfill by broad waste stream category</t>
  </si>
  <si>
    <t>Table 17 Emission factors by wastewater treatment type</t>
  </si>
  <si>
    <r>
      <t>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 per person)</t>
    </r>
  </si>
  <si>
    <t>Table 18 Direct (scope 1) emission factors for the incineration of waste</t>
  </si>
  <si>
    <r>
      <t>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</si>
  <si>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>Table 19 Direct emission factors (scope 1) for biological treatment of waste</t>
  </si>
  <si>
    <t xml:space="preserve">Waste treatment type  </t>
  </si>
  <si>
    <r>
      <t>Scope 1 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</si>
  <si>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 xml:space="preserve">Composting </t>
  </si>
  <si>
    <t xml:space="preserve">Anaerobic digestion </t>
  </si>
  <si>
    <t>Table 25 Transmission and distribution losses</t>
  </si>
  <si>
    <r>
      <t>Transmission and distribution losses 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‑e/kWh</t>
    </r>
  </si>
  <si>
    <t xml:space="preserve">South-West Interconnected System (SWIS) </t>
  </si>
  <si>
    <t xml:space="preserve">Western Australia – North-Western Interconnected System (NWIS) </t>
  </si>
  <si>
    <t>Table 26 Simplification of emissions equations for wastewater treatment methods</t>
  </si>
  <si>
    <r>
      <t>Methane correction factor (</t>
    </r>
    <r>
      <rPr>
        <b/>
        <i/>
        <sz val="11"/>
        <color theme="1"/>
        <rFont val="Calibri"/>
        <family val="2"/>
        <scheme val="minor"/>
      </rPr>
      <t>MCFw</t>
    </r>
    <r>
      <rPr>
        <b/>
        <sz val="11"/>
        <color theme="1"/>
        <rFont val="Calibri"/>
        <family val="2"/>
        <scheme val="minor"/>
      </rPr>
      <t>)</t>
    </r>
  </si>
  <si>
    <t>Default Chemical Oxygen Demand (t/person/</t>
  </si>
  <si>
    <t>year)</t>
  </si>
  <si>
    <r>
      <t>(</t>
    </r>
    <r>
      <rPr>
        <b/>
        <i/>
        <sz val="11"/>
        <color theme="1"/>
        <rFont val="Calibri"/>
        <family val="2"/>
        <scheme val="minor"/>
      </rPr>
      <t>DCw</t>
    </r>
    <r>
      <rPr>
        <b/>
        <sz val="11"/>
        <color theme="1"/>
        <rFont val="Calibri"/>
        <family val="2"/>
        <scheme val="minor"/>
      </rPr>
      <t>)</t>
    </r>
  </si>
  <si>
    <t>Default methane emissions in wastewater</t>
  </si>
  <si>
    <r>
      <t>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 COD)</t>
    </r>
  </si>
  <si>
    <r>
      <t>(</t>
    </r>
    <r>
      <rPr>
        <b/>
        <i/>
        <sz val="11"/>
        <color theme="1"/>
        <rFont val="Calibri"/>
        <family val="2"/>
        <scheme val="minor"/>
      </rPr>
      <t>EFw</t>
    </r>
    <r>
      <rPr>
        <b/>
        <sz val="11"/>
        <color theme="1"/>
        <rFont val="Calibri"/>
        <family val="2"/>
        <scheme val="minor"/>
      </rPr>
      <t>)</t>
    </r>
  </si>
  <si>
    <r>
      <t>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-e/person)</t>
    </r>
  </si>
  <si>
    <r>
      <t>(</t>
    </r>
    <r>
      <rPr>
        <b/>
        <i/>
        <sz val="11"/>
        <color theme="1"/>
        <rFont val="Calibri"/>
        <family val="2"/>
        <scheme val="minor"/>
      </rPr>
      <t>EF</t>
    </r>
    <r>
      <rPr>
        <b/>
        <sz val="11"/>
        <color theme="1"/>
        <rFont val="Calibri"/>
        <family val="2"/>
        <scheme val="minor"/>
      </rPr>
      <t>)</t>
    </r>
  </si>
  <si>
    <t xml:space="preserve">Managed aerobic treatment </t>
  </si>
  <si>
    <t xml:space="preserve">Unmanaged aerobic treatment </t>
  </si>
  <si>
    <t xml:space="preserve">Anaerobic digester/reactor </t>
  </si>
  <si>
    <t xml:space="preserve">Anaerobic lagoon shallow (&lt;2 metres) </t>
  </si>
  <si>
    <t xml:space="preserve">Anaerobic lagoon deep (&gt;2 metres) </t>
  </si>
  <si>
    <t>Table 27 Simplification of emissions equations for waste incineration</t>
  </si>
  <si>
    <t xml:space="preserve">Waste Type </t>
  </si>
  <si>
    <t>Carbon Content</t>
  </si>
  <si>
    <r>
      <t>(</t>
    </r>
    <r>
      <rPr>
        <b/>
        <i/>
        <sz val="11"/>
        <color theme="1"/>
        <rFont val="Calibri"/>
        <family val="2"/>
        <scheme val="minor"/>
      </rPr>
      <t>CC</t>
    </r>
    <r>
      <rPr>
        <b/>
        <sz val="11"/>
        <color theme="1"/>
        <rFont val="Calibri"/>
        <family val="2"/>
        <scheme val="minor"/>
      </rPr>
      <t>)</t>
    </r>
  </si>
  <si>
    <t>Fossil Origin</t>
  </si>
  <si>
    <r>
      <t>(</t>
    </r>
    <r>
      <rPr>
        <b/>
        <i/>
        <sz val="11"/>
        <color theme="1"/>
        <rFont val="Calibri"/>
        <family val="2"/>
        <scheme val="minor"/>
      </rPr>
      <t>FCC</t>
    </r>
    <r>
      <rPr>
        <b/>
        <sz val="11"/>
        <color theme="1"/>
        <rFont val="Calibri"/>
        <family val="2"/>
        <scheme val="minor"/>
      </rPr>
      <t>)</t>
    </r>
  </si>
  <si>
    <t>Default Oxidation Factor</t>
  </si>
  <si>
    <r>
      <t>(</t>
    </r>
    <r>
      <rPr>
        <b/>
        <i/>
        <sz val="11"/>
        <color theme="1"/>
        <rFont val="Calibri"/>
        <family val="2"/>
        <scheme val="minor"/>
      </rPr>
      <t>OF</t>
    </r>
    <r>
      <rPr>
        <b/>
        <sz val="11"/>
        <color theme="1"/>
        <rFont val="Calibri"/>
        <family val="2"/>
        <scheme val="minor"/>
      </rPr>
      <t>)</t>
    </r>
  </si>
  <si>
    <r>
      <t>Convert to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</si>
  <si>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r>
      <t>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</si>
  <si>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t>Table 28 Simplification of emissions equations for waste incineration - municipal waste</t>
  </si>
  <si>
    <t xml:space="preserve">Waste types in the Municipal Solid Waste broad stream </t>
  </si>
  <si>
    <t>Proportion of waste stream</t>
  </si>
  <si>
    <t>(%)</t>
  </si>
  <si>
    <r>
      <t>Weighted 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</t>
    </r>
  </si>
  <si>
    <t xml:space="preserve">-  </t>
  </si>
  <si>
    <t>Paper</t>
  </si>
  <si>
    <t>Garden and Green</t>
  </si>
  <si>
    <t xml:space="preserve">-   </t>
  </si>
  <si>
    <t xml:space="preserve">Wood </t>
  </si>
  <si>
    <t>Rubber and Leather</t>
  </si>
  <si>
    <t>Other</t>
  </si>
  <si>
    <t>Table 29 Simplification of emissions equations for biological treatment of waste</t>
  </si>
  <si>
    <t xml:space="preserve">Biological treatment type </t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</si>
  <si>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emission factor</t>
    </r>
  </si>
  <si>
    <r>
      <t>(CO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-e)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</si>
  <si>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 emission factor</t>
    </r>
  </si>
  <si>
    <t>Scope 1 emission factor</t>
  </si>
  <si>
    <t>Composting</t>
  </si>
  <si>
    <t>Anaerobic Digestion</t>
  </si>
  <si>
    <r>
      <t>Convert to t 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</si>
  <si>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Hydrogen</t>
  </si>
  <si>
    <t>Table 1 Indirect (scope 2 and scope 3) location-based emission factors associated with the consumption and losses of purchased or acquired electricity</t>
  </si>
  <si>
    <t>Table 2 Indirect (scope 2 and scope 3) market-based emission factors associated with the consumption and losses of purchased or acquired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</si>
</sst>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_-;\-* #,##0.000_-;_-* &quot;-&quot;??_-;_-@_-"/>
    <numFmt numFmtId="167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83A4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vertAlign val="subscript"/>
      <sz val="8"/>
      <name val="Arial"/>
      <family val="2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1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2" fontId="7" fillId="3" borderId="1" xfId="0" applyNumberFormat="1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left"/>
    </xf>
    <xf numFmtId="2" fontId="7" fillId="4" borderId="1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2" fontId="7" fillId="3" borderId="1" xfId="0" applyNumberFormat="1" applyFont="1" applyFill="1" applyBorder="1" applyAlignment="1">
      <alignment horizontal="left" vertical="center"/>
    </xf>
    <xf numFmtId="165" fontId="7" fillId="3" borderId="1" xfId="0" applyNumberFormat="1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0" fillId="5" borderId="0" xfId="0" applyFont="1" applyFill="1"/>
    <xf numFmtId="0" fontId="0" fillId="5" borderId="0" xfId="0" applyFill="1"/>
    <xf numFmtId="0" fontId="9" fillId="5" borderId="0" xfId="2" applyFill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0" fillId="0" borderId="13" xfId="0" applyNumberForma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5" fillId="5" borderId="0" xfId="0" applyFont="1" applyFill="1"/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0" fontId="0" fillId="0" borderId="7" xfId="0" applyNumberForma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/>
    </xf>
    <xf numFmtId="9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 wrapText="1"/>
    </xf>
    <xf numFmtId="43" fontId="0" fillId="0" borderId="0" xfId="1" applyFont="1"/>
    <xf numFmtId="167" fontId="0" fillId="0" borderId="0" xfId="1" applyNumberFormat="1" applyFont="1"/>
    <xf numFmtId="2" fontId="2" fillId="0" borderId="7" xfId="0" applyNumberFormat="1" applyFont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6" fontId="7" fillId="3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71120</xdr:colOff>
      <xdr:row>3</xdr:row>
      <xdr:rowOff>82550</xdr:rowOff>
    </xdr:to>
    <xdr:pic>
      <xdr:nvPicPr>
        <xdr:cNvPr id="3" name="Picture 2" title="Australian Government Department of Climate Change, Energy, the Environment and Water Logo">
          <a:extLst>
            <a:ext uri="{FF2B5EF4-FFF2-40B4-BE49-F238E27FC236}">
              <a16:creationId xmlns:a16="http://schemas.microsoft.com/office/drawing/2014/main" id="{37CDFA7F-20AC-9443-763D-AFDA67B08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147695" cy="654050"/>
        </a:xfrm>
        <a:prstGeom prst="rect">
          <a:avLst/>
        </a:prstGeom>
        <a:ln>
          <a:noFill/>
        </a:ln>
        <a:extLst>
          <a:ext uri="{53640926-AAD7-44d8-BBD7-CCE9431645EC}">
            <a14:shadowObscured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:a14="http://schemas.microsoft.com/office/drawing/2010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cceew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10"/>
  <sheetViews>
    <sheetView tabSelected="1" workbookViewId="0">
      <selection activeCell="A8" sqref="A8"/>
    </sheetView>
  </sheetViews>
  <sheetFormatPr defaultColWidth="9.140625" defaultRowHeight="15" x14ac:dyDescent="0.25"/>
  <cols>
    <col min="1" max="1" width="9.5703125" style="27" bestFit="1" customWidth="1"/>
    <col min="2" max="16384" width="9.140625" style="27"/>
  </cols>
  <sheetData>
    <row r="6" spans="1:1" ht="46.5" x14ac:dyDescent="0.7">
      <c r="A6" s="26" t="s">
        <v>0</v>
      </c>
    </row>
    <row r="8" spans="1:1" ht="26.25" x14ac:dyDescent="0.4">
      <c r="A8" s="52">
        <v>2025</v>
      </c>
    </row>
    <row r="10" spans="1:1" x14ac:dyDescent="0.25">
      <c r="A10" s="28" t="s">
        <v>1</v>
      </c>
    </row>
  </sheetData>
  <hyperlinks>
    <hyperlink ref="A10" r:id="rId1" xr:uid="{04833729-5B0B-46A0-BCC8-47CA3DE2CB9B}"/>
  </hyperlinks>
  <pageMargins left="0.7" right="0.7" top="0.75" bottom="0.75" header="0.3" footer="0.3"/>
  <pageSetup paperSize="9" orientation="portrait" r:id="rId2"/>
  <headerFooter>
    <oddHeader>&amp;C&amp;"Calibri"&amp;12&amp;KFF0000 OFFICIAL&amp;1#_x000D_</oddHeader>
    <oddFooter>&amp;C_x000D_&amp;1#&amp;"Calibri"&amp;12&amp;KFF0000 OFFICIAL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5" x14ac:dyDescent="0.25"/>
  <cols>
    <col min="1" max="1" width="61.28515625" bestFit="1" customWidth="1"/>
    <col min="2" max="2" width="11.42578125" bestFit="1" customWidth="1"/>
    <col min="3" max="3" width="9.7109375" bestFit="1" customWidth="1"/>
    <col min="4" max="4" width="11.42578125" bestFit="1" customWidth="1"/>
    <col min="5" max="5" width="9.7109375" bestFit="1" customWidth="1"/>
  </cols>
  <sheetData>
    <row r="1" spans="1:3" ht="15.75" thickBot="1" x14ac:dyDescent="0.3">
      <c r="A1" s="2" t="s">
        <v>341</v>
      </c>
    </row>
    <row r="2" spans="1:3" ht="45" x14ac:dyDescent="0.25">
      <c r="A2" s="68" t="s">
        <v>2</v>
      </c>
      <c r="B2" s="29" t="s">
        <v>3</v>
      </c>
      <c r="C2" s="29" t="s">
        <v>218</v>
      </c>
    </row>
    <row r="3" spans="1:3" ht="33.75" thickBot="1" x14ac:dyDescent="0.3">
      <c r="A3" s="69"/>
      <c r="B3" s="30" t="s">
        <v>217</v>
      </c>
      <c r="C3" s="30" t="s">
        <v>217</v>
      </c>
    </row>
    <row r="4" spans="1:3" ht="15.75" thickBot="1" x14ac:dyDescent="0.3">
      <c r="A4" s="32" t="s">
        <v>4</v>
      </c>
      <c r="B4" s="34">
        <v>0.64</v>
      </c>
      <c r="C4" s="34">
        <v>0.03</v>
      </c>
    </row>
    <row r="5" spans="1:3" ht="15.75" thickBot="1" x14ac:dyDescent="0.3">
      <c r="A5" s="32" t="s">
        <v>5</v>
      </c>
      <c r="B5" s="34">
        <v>0.78</v>
      </c>
      <c r="C5" s="34">
        <v>0.09</v>
      </c>
    </row>
    <row r="6" spans="1:3" ht="15.75" thickBot="1" x14ac:dyDescent="0.3">
      <c r="A6" s="32" t="s">
        <v>6</v>
      </c>
      <c r="B6" s="34">
        <v>0.67</v>
      </c>
      <c r="C6" s="34">
        <v>0.09</v>
      </c>
    </row>
    <row r="7" spans="1:3" ht="15.75" thickBot="1" x14ac:dyDescent="0.3">
      <c r="A7" s="32" t="s">
        <v>7</v>
      </c>
      <c r="B7" s="34">
        <v>0.22</v>
      </c>
      <c r="C7" s="34">
        <v>0.04</v>
      </c>
    </row>
    <row r="8" spans="1:3" x14ac:dyDescent="0.25">
      <c r="A8" s="35" t="s">
        <v>219</v>
      </c>
      <c r="B8" s="70">
        <v>0.5</v>
      </c>
      <c r="C8" s="66">
        <v>0.06</v>
      </c>
    </row>
    <row r="9" spans="1:3" ht="15.75" thickBot="1" x14ac:dyDescent="0.3">
      <c r="A9" s="31" t="s">
        <v>220</v>
      </c>
      <c r="B9" s="71"/>
      <c r="C9" s="67"/>
    </row>
    <row r="10" spans="1:3" ht="15.75" thickBot="1" x14ac:dyDescent="0.3">
      <c r="A10" s="31" t="s">
        <v>11</v>
      </c>
      <c r="B10" s="34">
        <v>0.56000000000000005</v>
      </c>
      <c r="C10" s="34">
        <v>0.09</v>
      </c>
    </row>
    <row r="11" spans="1:3" ht="15.75" thickBot="1" x14ac:dyDescent="0.3">
      <c r="A11" s="32" t="s">
        <v>8</v>
      </c>
      <c r="B11" s="64">
        <v>0.2</v>
      </c>
      <c r="C11" s="34">
        <v>0.03</v>
      </c>
    </row>
    <row r="12" spans="1:3" x14ac:dyDescent="0.25">
      <c r="A12" s="36" t="s">
        <v>221</v>
      </c>
      <c r="B12" s="66">
        <v>0.56000000000000005</v>
      </c>
      <c r="C12" s="66">
        <v>0.09</v>
      </c>
    </row>
    <row r="13" spans="1:3" ht="15.75" thickBot="1" x14ac:dyDescent="0.3">
      <c r="A13" s="31" t="s">
        <v>222</v>
      </c>
      <c r="B13" s="67"/>
      <c r="C13" s="67"/>
    </row>
    <row r="14" spans="1:3" ht="15.75" thickBot="1" x14ac:dyDescent="0.3">
      <c r="A14" s="31" t="s">
        <v>223</v>
      </c>
      <c r="B14" s="34">
        <v>0.62</v>
      </c>
      <c r="C14" s="34">
        <v>7.0000000000000007E-2</v>
      </c>
    </row>
  </sheetData>
  <mergeCells count="5">
    <mergeCell ref="B12:B13"/>
    <mergeCell ref="C12:C13"/>
    <mergeCell ref="A2:A3"/>
    <mergeCell ref="B8:B9"/>
    <mergeCell ref="C8:C9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5A33-078F-4FC9-8D60-2CE5E1F834CC}">
  <dimension ref="A1:C4"/>
  <sheetViews>
    <sheetView workbookViewId="0"/>
  </sheetViews>
  <sheetFormatPr defaultRowHeight="15" x14ac:dyDescent="0.25"/>
  <cols>
    <col min="1" max="1" width="60.7109375" customWidth="1"/>
    <col min="2" max="2" width="14.5703125" customWidth="1"/>
  </cols>
  <sheetData>
    <row r="1" spans="1:3" ht="15.75" thickBot="1" x14ac:dyDescent="0.3">
      <c r="A1" s="2" t="s">
        <v>342</v>
      </c>
    </row>
    <row r="2" spans="1:3" ht="45" x14ac:dyDescent="0.25">
      <c r="A2" s="68" t="s">
        <v>224</v>
      </c>
      <c r="B2" s="29" t="s">
        <v>3</v>
      </c>
      <c r="C2" s="29" t="s">
        <v>218</v>
      </c>
    </row>
    <row r="3" spans="1:3" ht="33.75" thickBot="1" x14ac:dyDescent="0.3">
      <c r="A3" s="69"/>
      <c r="B3" s="30" t="s">
        <v>217</v>
      </c>
      <c r="C3" s="30" t="s">
        <v>217</v>
      </c>
    </row>
    <row r="4" spans="1:3" ht="15.75" thickBot="1" x14ac:dyDescent="0.3">
      <c r="A4" s="31" t="s">
        <v>9</v>
      </c>
      <c r="B4" s="34">
        <v>0.81</v>
      </c>
      <c r="C4" s="34">
        <v>0.11</v>
      </c>
    </row>
  </sheetData>
  <mergeCells count="1">
    <mergeCell ref="A2:A3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D8" sqref="D8"/>
    </sheetView>
  </sheetViews>
  <sheetFormatPr defaultRowHeight="15" x14ac:dyDescent="0.25"/>
  <cols>
    <col min="1" max="1" width="58.42578125" style="1" bestFit="1" customWidth="1"/>
    <col min="6" max="6" width="12.42578125" customWidth="1"/>
  </cols>
  <sheetData>
    <row r="1" spans="1:2" ht="15.75" thickBot="1" x14ac:dyDescent="0.3">
      <c r="A1" s="2" t="s">
        <v>225</v>
      </c>
    </row>
    <row r="2" spans="1:2" ht="30" x14ac:dyDescent="0.25">
      <c r="A2" s="68" t="s">
        <v>10</v>
      </c>
      <c r="B2" s="29" t="s">
        <v>63</v>
      </c>
    </row>
    <row r="3" spans="1:2" ht="33.75" thickBot="1" x14ac:dyDescent="0.3">
      <c r="A3" s="69"/>
      <c r="B3" s="30" t="s">
        <v>217</v>
      </c>
    </row>
    <row r="4" spans="1:2" ht="15.75" thickBot="1" x14ac:dyDescent="0.3">
      <c r="A4" s="31" t="s">
        <v>226</v>
      </c>
      <c r="B4" s="34">
        <v>0.64</v>
      </c>
    </row>
    <row r="5" spans="1:2" x14ac:dyDescent="0.25">
      <c r="A5" s="35" t="s">
        <v>227</v>
      </c>
      <c r="B5" s="66">
        <v>0.51</v>
      </c>
    </row>
    <row r="6" spans="1:2" ht="15.75" thickBot="1" x14ac:dyDescent="0.3">
      <c r="A6" s="31" t="s">
        <v>220</v>
      </c>
      <c r="B6" s="67"/>
    </row>
    <row r="7" spans="1:2" x14ac:dyDescent="0.25">
      <c r="A7" s="36" t="s">
        <v>221</v>
      </c>
      <c r="B7" s="66">
        <v>0.56000000000000005</v>
      </c>
    </row>
    <row r="8" spans="1:2" ht="15.75" thickBot="1" x14ac:dyDescent="0.3">
      <c r="A8" s="31" t="s">
        <v>228</v>
      </c>
      <c r="B8" s="67"/>
    </row>
    <row r="9" spans="1:2" ht="30.75" thickBot="1" x14ac:dyDescent="0.3">
      <c r="A9" s="31" t="s">
        <v>11</v>
      </c>
      <c r="B9" s="34">
        <v>0.61</v>
      </c>
    </row>
    <row r="10" spans="1:2" ht="15.75" thickBot="1" x14ac:dyDescent="0.3">
      <c r="A10" s="31" t="s">
        <v>12</v>
      </c>
      <c r="B10" s="34">
        <v>0.67</v>
      </c>
    </row>
  </sheetData>
  <mergeCells count="3">
    <mergeCell ref="B5:B6"/>
    <mergeCell ref="B7:B8"/>
    <mergeCell ref="A2:A3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/>
  </sheetViews>
  <sheetFormatPr defaultRowHeight="15" x14ac:dyDescent="0.25"/>
  <cols>
    <col min="1" max="1" width="26.85546875" style="1" bestFit="1" customWidth="1"/>
    <col min="2" max="6" width="14.5703125" style="1" customWidth="1"/>
    <col min="7" max="7" width="13.140625" customWidth="1"/>
  </cols>
  <sheetData>
    <row r="1" spans="1:7" ht="15.75" thickBot="1" x14ac:dyDescent="0.3">
      <c r="A1" s="2" t="s">
        <v>229</v>
      </c>
    </row>
    <row r="2" spans="1:7" ht="45" x14ac:dyDescent="0.25">
      <c r="A2" s="68" t="s">
        <v>37</v>
      </c>
      <c r="B2" s="29" t="s">
        <v>13</v>
      </c>
      <c r="C2" s="29" t="s">
        <v>95</v>
      </c>
      <c r="D2" s="29" t="s">
        <v>95</v>
      </c>
      <c r="E2" s="29" t="s">
        <v>95</v>
      </c>
      <c r="F2" s="29" t="s">
        <v>95</v>
      </c>
      <c r="G2" s="29" t="s">
        <v>14</v>
      </c>
    </row>
    <row r="3" spans="1:7" ht="33" x14ac:dyDescent="0.25">
      <c r="A3" s="72"/>
      <c r="B3" s="37" t="s">
        <v>230</v>
      </c>
      <c r="C3" s="37" t="s">
        <v>231</v>
      </c>
      <c r="D3" s="37" t="s">
        <v>231</v>
      </c>
      <c r="E3" s="37" t="s">
        <v>231</v>
      </c>
      <c r="F3" s="37" t="s">
        <v>231</v>
      </c>
      <c r="G3" s="37" t="s">
        <v>235</v>
      </c>
    </row>
    <row r="4" spans="1:7" ht="30.75" thickBot="1" x14ac:dyDescent="0.3">
      <c r="A4" s="69"/>
      <c r="B4" s="38"/>
      <c r="C4" s="30" t="s">
        <v>232</v>
      </c>
      <c r="D4" s="30" t="s">
        <v>233</v>
      </c>
      <c r="E4" s="30" t="s">
        <v>234</v>
      </c>
      <c r="F4" s="30" t="s">
        <v>39</v>
      </c>
      <c r="G4" s="38"/>
    </row>
    <row r="5" spans="1:7" ht="15.75" thickBot="1" x14ac:dyDescent="0.3">
      <c r="A5" s="31" t="s">
        <v>236</v>
      </c>
      <c r="B5" s="40">
        <v>27</v>
      </c>
      <c r="C5" s="39">
        <v>90</v>
      </c>
      <c r="D5" s="39">
        <v>0.04</v>
      </c>
      <c r="E5" s="39">
        <v>0.2</v>
      </c>
      <c r="F5" s="39">
        <v>90.24</v>
      </c>
      <c r="G5" s="39">
        <v>3</v>
      </c>
    </row>
    <row r="6" spans="1:7" ht="15.75" thickBot="1" x14ac:dyDescent="0.3">
      <c r="A6" s="31" t="s">
        <v>17</v>
      </c>
      <c r="B6" s="40">
        <v>21</v>
      </c>
      <c r="C6" s="39">
        <v>90</v>
      </c>
      <c r="D6" s="39">
        <v>0.04</v>
      </c>
      <c r="E6" s="39">
        <v>0.2</v>
      </c>
      <c r="F6" s="39">
        <v>90.24</v>
      </c>
      <c r="G6" s="39">
        <v>2.5</v>
      </c>
    </row>
    <row r="7" spans="1:7" ht="15.75" thickBot="1" x14ac:dyDescent="0.3">
      <c r="A7" s="31" t="s">
        <v>18</v>
      </c>
      <c r="B7" s="40">
        <v>29</v>
      </c>
      <c r="C7" s="39">
        <v>90</v>
      </c>
      <c r="D7" s="39">
        <v>0.04</v>
      </c>
      <c r="E7" s="39">
        <v>0.2</v>
      </c>
      <c r="F7" s="39">
        <v>90.24</v>
      </c>
      <c r="G7" s="39" t="s">
        <v>19</v>
      </c>
    </row>
    <row r="8" spans="1:7" ht="15.75" thickBot="1" x14ac:dyDescent="0.3">
      <c r="A8" s="31" t="s">
        <v>20</v>
      </c>
      <c r="B8" s="40">
        <v>10.199999999999999</v>
      </c>
      <c r="C8" s="39">
        <v>93.5</v>
      </c>
      <c r="D8" s="39">
        <v>0.02</v>
      </c>
      <c r="E8" s="39">
        <v>0.3</v>
      </c>
      <c r="F8" s="39">
        <v>93.82</v>
      </c>
      <c r="G8" s="39">
        <v>0.4</v>
      </c>
    </row>
    <row r="9" spans="1:7" ht="15.75" thickBot="1" x14ac:dyDescent="0.3">
      <c r="A9" s="31" t="s">
        <v>21</v>
      </c>
      <c r="B9" s="40">
        <v>30</v>
      </c>
      <c r="C9" s="39">
        <v>91.8</v>
      </c>
      <c r="D9" s="39">
        <v>0.03</v>
      </c>
      <c r="E9" s="39">
        <v>0.2</v>
      </c>
      <c r="F9" s="39">
        <v>92.03</v>
      </c>
      <c r="G9" s="39">
        <v>6.4</v>
      </c>
    </row>
    <row r="10" spans="1:7" ht="15.75" thickBot="1" x14ac:dyDescent="0.3">
      <c r="A10" s="31" t="s">
        <v>22</v>
      </c>
      <c r="B10" s="40">
        <v>22.1</v>
      </c>
      <c r="C10" s="39">
        <v>95</v>
      </c>
      <c r="D10" s="39">
        <v>0.08</v>
      </c>
      <c r="E10" s="39">
        <v>0.3</v>
      </c>
      <c r="F10" s="39">
        <v>95.38</v>
      </c>
      <c r="G10" s="39" t="s">
        <v>19</v>
      </c>
    </row>
    <row r="11" spans="1:7" ht="15.75" thickBot="1" x14ac:dyDescent="0.3">
      <c r="A11" s="31" t="s">
        <v>23</v>
      </c>
      <c r="B11" s="40">
        <v>27</v>
      </c>
      <c r="C11" s="39">
        <v>107</v>
      </c>
      <c r="D11" s="39">
        <v>0.03</v>
      </c>
      <c r="E11" s="39">
        <v>0.2</v>
      </c>
      <c r="F11" s="39">
        <v>107.23</v>
      </c>
      <c r="G11" s="39" t="s">
        <v>19</v>
      </c>
    </row>
    <row r="12" spans="1:7" ht="15.75" thickBot="1" x14ac:dyDescent="0.3">
      <c r="A12" s="31" t="s">
        <v>24</v>
      </c>
      <c r="B12" s="40">
        <v>37.5</v>
      </c>
      <c r="C12" s="39">
        <v>81.8</v>
      </c>
      <c r="D12" s="39">
        <v>0.03</v>
      </c>
      <c r="E12" s="39">
        <v>0.2</v>
      </c>
      <c r="F12" s="39">
        <v>82.03</v>
      </c>
      <c r="G12" s="39" t="s">
        <v>19</v>
      </c>
    </row>
    <row r="13" spans="1:7" ht="45.75" thickBot="1" x14ac:dyDescent="0.3">
      <c r="A13" s="31" t="s">
        <v>25</v>
      </c>
      <c r="B13" s="40">
        <v>22.1</v>
      </c>
      <c r="C13" s="39">
        <v>95</v>
      </c>
      <c r="D13" s="39">
        <v>0.08</v>
      </c>
      <c r="E13" s="39">
        <v>0.2</v>
      </c>
      <c r="F13" s="39">
        <v>95.28</v>
      </c>
      <c r="G13" s="39" t="s">
        <v>19</v>
      </c>
    </row>
    <row r="14" spans="1:7" ht="60.75" thickBot="1" x14ac:dyDescent="0.3">
      <c r="A14" s="31" t="s">
        <v>26</v>
      </c>
      <c r="B14" s="40">
        <v>26.3</v>
      </c>
      <c r="C14" s="39">
        <v>81.599999999999994</v>
      </c>
      <c r="D14" s="39">
        <v>0.03</v>
      </c>
      <c r="E14" s="39">
        <v>0.2</v>
      </c>
      <c r="F14" s="39">
        <v>81.83</v>
      </c>
      <c r="G14" s="39" t="s">
        <v>19</v>
      </c>
    </row>
    <row r="15" spans="1:7" ht="45.75" thickBot="1" x14ac:dyDescent="0.3">
      <c r="A15" s="31" t="s">
        <v>237</v>
      </c>
      <c r="B15" s="40">
        <v>32</v>
      </c>
      <c r="C15" s="39">
        <v>62.8</v>
      </c>
      <c r="D15" s="39">
        <v>0.03</v>
      </c>
      <c r="E15" s="39">
        <v>0.2</v>
      </c>
      <c r="F15" s="39">
        <v>63.03</v>
      </c>
      <c r="G15" s="39" t="s">
        <v>19</v>
      </c>
    </row>
    <row r="16" spans="1:7" ht="45.75" thickBot="1" x14ac:dyDescent="0.3">
      <c r="A16" s="31" t="s">
        <v>28</v>
      </c>
      <c r="B16" s="40">
        <v>27.1</v>
      </c>
      <c r="C16" s="39">
        <v>55.9</v>
      </c>
      <c r="D16" s="39">
        <v>0.03</v>
      </c>
      <c r="E16" s="39">
        <v>0.2</v>
      </c>
      <c r="F16" s="39">
        <v>56.13</v>
      </c>
      <c r="G16" s="39" t="s">
        <v>19</v>
      </c>
    </row>
    <row r="17" spans="1:7" ht="45.75" thickBot="1" x14ac:dyDescent="0.3">
      <c r="A17" s="31" t="s">
        <v>29</v>
      </c>
      <c r="B17" s="40">
        <v>10.5</v>
      </c>
      <c r="C17" s="39">
        <v>87.1</v>
      </c>
      <c r="D17" s="39">
        <v>0.8</v>
      </c>
      <c r="E17" s="39">
        <v>1</v>
      </c>
      <c r="F17" s="39">
        <v>88.9</v>
      </c>
      <c r="G17" s="39" t="s">
        <v>19</v>
      </c>
    </row>
    <row r="18" spans="1:7" ht="15.75" thickBot="1" x14ac:dyDescent="0.3">
      <c r="A18" s="31" t="s">
        <v>30</v>
      </c>
      <c r="B18" s="40">
        <v>16.2</v>
      </c>
      <c r="C18" s="39">
        <v>0</v>
      </c>
      <c r="D18" s="39">
        <v>0.1</v>
      </c>
      <c r="E18" s="39">
        <v>1.1000000000000001</v>
      </c>
      <c r="F18" s="39">
        <v>1.2</v>
      </c>
      <c r="G18" s="39" t="s">
        <v>19</v>
      </c>
    </row>
    <row r="19" spans="1:7" ht="15.75" thickBot="1" x14ac:dyDescent="0.3">
      <c r="A19" s="31" t="s">
        <v>31</v>
      </c>
      <c r="B19" s="40">
        <v>10.4</v>
      </c>
      <c r="C19" s="39">
        <v>0</v>
      </c>
      <c r="D19" s="39">
        <v>0.1</v>
      </c>
      <c r="E19" s="39">
        <v>1.1000000000000001</v>
      </c>
      <c r="F19" s="39">
        <v>1.2</v>
      </c>
      <c r="G19" s="39" t="s">
        <v>19</v>
      </c>
    </row>
    <row r="20" spans="1:7" ht="15.75" thickBot="1" x14ac:dyDescent="0.3">
      <c r="A20" s="31" t="s">
        <v>238</v>
      </c>
      <c r="B20" s="40">
        <v>12.4</v>
      </c>
      <c r="C20" s="39">
        <v>0</v>
      </c>
      <c r="D20" s="39">
        <v>0.08</v>
      </c>
      <c r="E20" s="39">
        <v>0.5</v>
      </c>
      <c r="F20" s="39">
        <v>0.57999999999999996</v>
      </c>
      <c r="G20" s="39" t="s">
        <v>19</v>
      </c>
    </row>
    <row r="21" spans="1:7" ht="15.75" thickBot="1" x14ac:dyDescent="0.3">
      <c r="A21" s="31" t="s">
        <v>33</v>
      </c>
      <c r="B21" s="40">
        <v>9.6</v>
      </c>
      <c r="C21" s="39">
        <v>0</v>
      </c>
      <c r="D21" s="39">
        <v>0.3</v>
      </c>
      <c r="E21" s="39">
        <v>1.1000000000000001</v>
      </c>
      <c r="F21" s="39">
        <v>1.4</v>
      </c>
      <c r="G21" s="39" t="s">
        <v>19</v>
      </c>
    </row>
    <row r="22" spans="1:7" ht="60.75" thickBot="1" x14ac:dyDescent="0.3">
      <c r="A22" s="31" t="s">
        <v>34</v>
      </c>
      <c r="B22" s="40">
        <v>12.2</v>
      </c>
      <c r="C22" s="39">
        <v>0</v>
      </c>
      <c r="D22" s="39">
        <v>0.8</v>
      </c>
      <c r="E22" s="39">
        <v>1</v>
      </c>
      <c r="F22" s="39">
        <v>1.8</v>
      </c>
      <c r="G22" s="39" t="s">
        <v>19</v>
      </c>
    </row>
    <row r="23" spans="1:7" ht="15.75" thickBot="1" x14ac:dyDescent="0.3">
      <c r="A23" s="31" t="s">
        <v>35</v>
      </c>
      <c r="B23" s="40">
        <v>31.1</v>
      </c>
      <c r="C23" s="39">
        <v>0</v>
      </c>
      <c r="D23" s="39">
        <v>5.3</v>
      </c>
      <c r="E23" s="39">
        <v>1</v>
      </c>
      <c r="F23" s="39">
        <v>6.3</v>
      </c>
      <c r="G23" s="39" t="s">
        <v>19</v>
      </c>
    </row>
    <row r="24" spans="1:7" ht="45.75" thickBot="1" x14ac:dyDescent="0.3">
      <c r="A24" s="31" t="s">
        <v>36</v>
      </c>
      <c r="B24" s="40">
        <v>12.2</v>
      </c>
      <c r="C24" s="39">
        <v>0</v>
      </c>
      <c r="D24" s="39">
        <v>0.8</v>
      </c>
      <c r="E24" s="39">
        <v>1</v>
      </c>
      <c r="F24" s="39">
        <v>1.8</v>
      </c>
      <c r="G24" s="39" t="s">
        <v>19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5" x14ac:dyDescent="0.25"/>
  <cols>
    <col min="1" max="3" width="29.7109375" customWidth="1"/>
  </cols>
  <sheetData>
    <row r="1" spans="1:6" ht="15.75" thickBot="1" x14ac:dyDescent="0.3">
      <c r="A1" s="2" t="s">
        <v>239</v>
      </c>
    </row>
    <row r="2" spans="1:6" ht="45" x14ac:dyDescent="0.25">
      <c r="A2" s="68" t="s">
        <v>37</v>
      </c>
      <c r="B2" s="29" t="s">
        <v>13</v>
      </c>
      <c r="C2" s="29" t="s">
        <v>95</v>
      </c>
      <c r="D2" s="29" t="s">
        <v>95</v>
      </c>
      <c r="E2" s="29" t="s">
        <v>95</v>
      </c>
      <c r="F2" s="29" t="s">
        <v>95</v>
      </c>
    </row>
    <row r="3" spans="1:6" ht="48" x14ac:dyDescent="0.25">
      <c r="A3" s="72"/>
      <c r="B3" s="37" t="s">
        <v>240</v>
      </c>
      <c r="C3" s="37" t="s">
        <v>231</v>
      </c>
      <c r="D3" s="37" t="s">
        <v>231</v>
      </c>
      <c r="E3" s="37" t="s">
        <v>231</v>
      </c>
      <c r="F3" s="37" t="s">
        <v>231</v>
      </c>
    </row>
    <row r="4" spans="1:6" ht="30.75" thickBot="1" x14ac:dyDescent="0.3">
      <c r="A4" s="69"/>
      <c r="B4" s="38"/>
      <c r="C4" s="30" t="s">
        <v>232</v>
      </c>
      <c r="D4" s="30" t="s">
        <v>233</v>
      </c>
      <c r="E4" s="30" t="s">
        <v>234</v>
      </c>
      <c r="F4" s="30" t="s">
        <v>39</v>
      </c>
    </row>
    <row r="5" spans="1:6" ht="30.75" thickBot="1" x14ac:dyDescent="0.3">
      <c r="A5" s="31" t="s">
        <v>40</v>
      </c>
      <c r="B5" s="39">
        <v>3.9300000000000002E-2</v>
      </c>
      <c r="C5" s="39">
        <v>51.4</v>
      </c>
      <c r="D5" s="39">
        <v>0.1</v>
      </c>
      <c r="E5" s="39">
        <v>0.03</v>
      </c>
      <c r="F5" s="39">
        <v>51.53</v>
      </c>
    </row>
    <row r="6" spans="1:6" ht="30.75" thickBot="1" x14ac:dyDescent="0.3">
      <c r="A6" s="31" t="s">
        <v>41</v>
      </c>
      <c r="B6" s="39">
        <v>3.7699999999999997E-2</v>
      </c>
      <c r="C6" s="39">
        <v>51.4</v>
      </c>
      <c r="D6" s="39">
        <v>0.2</v>
      </c>
      <c r="E6" s="39">
        <v>0.03</v>
      </c>
      <c r="F6" s="39">
        <v>51.63</v>
      </c>
    </row>
    <row r="7" spans="1:6" ht="30.75" thickBot="1" x14ac:dyDescent="0.3">
      <c r="A7" s="31" t="s">
        <v>42</v>
      </c>
      <c r="B7" s="39">
        <v>3.7699999999999997E-2</v>
      </c>
      <c r="C7" s="39">
        <v>51.9</v>
      </c>
      <c r="D7" s="39">
        <v>4.5999999999999996</v>
      </c>
      <c r="E7" s="39">
        <v>0.3</v>
      </c>
      <c r="F7" s="39">
        <v>56.8</v>
      </c>
    </row>
    <row r="8" spans="1:6" ht="45.75" thickBot="1" x14ac:dyDescent="0.3">
      <c r="A8" s="31" t="s">
        <v>43</v>
      </c>
      <c r="B8" s="39">
        <v>3.9300000000000002E-2</v>
      </c>
      <c r="C8" s="39">
        <v>51.4</v>
      </c>
      <c r="D8" s="39">
        <v>0.1</v>
      </c>
      <c r="E8" s="39">
        <v>0.03</v>
      </c>
      <c r="F8" s="39">
        <v>51.53</v>
      </c>
    </row>
    <row r="9" spans="1:6" ht="15.75" thickBot="1" x14ac:dyDescent="0.3">
      <c r="A9" s="31" t="s">
        <v>44</v>
      </c>
      <c r="B9" s="39">
        <v>3.9300000000000002E-2</v>
      </c>
      <c r="C9" s="39">
        <v>51.4</v>
      </c>
      <c r="D9" s="39">
        <v>0.1</v>
      </c>
      <c r="E9" s="39">
        <v>0.03</v>
      </c>
      <c r="F9" s="39">
        <v>51.53</v>
      </c>
    </row>
    <row r="10" spans="1:6" ht="15.75" thickBot="1" x14ac:dyDescent="0.3">
      <c r="A10" s="31" t="s">
        <v>45</v>
      </c>
      <c r="B10" s="39">
        <v>6.2899999999999998E-2</v>
      </c>
      <c r="C10" s="39">
        <v>56.5</v>
      </c>
      <c r="D10" s="39">
        <v>0.03</v>
      </c>
      <c r="E10" s="39">
        <v>0.03</v>
      </c>
      <c r="F10" s="39">
        <v>56.56</v>
      </c>
    </row>
    <row r="11" spans="1:6" ht="15.75" thickBot="1" x14ac:dyDescent="0.3">
      <c r="A11" s="31" t="s">
        <v>46</v>
      </c>
      <c r="B11" s="39">
        <v>1.8100000000000002E-2</v>
      </c>
      <c r="C11" s="39">
        <v>37</v>
      </c>
      <c r="D11" s="39">
        <v>0.03</v>
      </c>
      <c r="E11" s="39">
        <v>0.05</v>
      </c>
      <c r="F11" s="39">
        <v>37.08</v>
      </c>
    </row>
    <row r="12" spans="1:6" ht="15.75" thickBot="1" x14ac:dyDescent="0.3">
      <c r="A12" s="31" t="s">
        <v>47</v>
      </c>
      <c r="B12" s="39">
        <v>4.0000000000000001E-3</v>
      </c>
      <c r="C12" s="39">
        <v>234</v>
      </c>
      <c r="D12" s="39">
        <v>0.03</v>
      </c>
      <c r="E12" s="39">
        <v>0.02</v>
      </c>
      <c r="F12" s="39">
        <v>234.05</v>
      </c>
    </row>
    <row r="13" spans="1:6" ht="15.75" thickBot="1" x14ac:dyDescent="0.3">
      <c r="A13" s="31" t="s">
        <v>48</v>
      </c>
      <c r="B13" s="39">
        <v>3.9E-2</v>
      </c>
      <c r="C13" s="39">
        <v>60.2</v>
      </c>
      <c r="D13" s="39">
        <v>0.04</v>
      </c>
      <c r="E13" s="39">
        <v>0.03</v>
      </c>
      <c r="F13" s="39">
        <v>60.27</v>
      </c>
    </row>
    <row r="14" spans="1:6" ht="15.75" thickBot="1" x14ac:dyDescent="0.3">
      <c r="A14" s="31" t="s">
        <v>49</v>
      </c>
      <c r="B14" s="39" t="s">
        <v>241</v>
      </c>
      <c r="C14" s="39">
        <v>51.4</v>
      </c>
      <c r="D14" s="39">
        <v>0.1</v>
      </c>
      <c r="E14" s="39">
        <v>0.03</v>
      </c>
      <c r="F14" s="39">
        <v>51.53</v>
      </c>
    </row>
    <row r="15" spans="1:6" ht="45.75" thickBot="1" x14ac:dyDescent="0.3">
      <c r="A15" s="31" t="s">
        <v>50</v>
      </c>
      <c r="B15" s="39">
        <v>3.9E-2</v>
      </c>
      <c r="C15" s="39">
        <v>51.4</v>
      </c>
      <c r="D15" s="39">
        <v>0.1</v>
      </c>
      <c r="E15" s="39">
        <v>0.03</v>
      </c>
      <c r="F15" s="39">
        <v>51.53</v>
      </c>
    </row>
    <row r="16" spans="1:6" ht="30.75" thickBot="1" x14ac:dyDescent="0.3">
      <c r="A16" s="31" t="s">
        <v>51</v>
      </c>
      <c r="B16" s="39">
        <v>3.7699999999999997E-2</v>
      </c>
      <c r="C16" s="39">
        <v>0</v>
      </c>
      <c r="D16" s="39">
        <v>6.4</v>
      </c>
      <c r="E16" s="39">
        <v>0.03</v>
      </c>
      <c r="F16" s="39">
        <v>6.43</v>
      </c>
    </row>
    <row r="17" spans="1:6" ht="30.75" thickBot="1" x14ac:dyDescent="0.3">
      <c r="A17" s="31" t="s">
        <v>52</v>
      </c>
      <c r="B17" s="39">
        <v>3.7699999999999997E-2</v>
      </c>
      <c r="C17" s="39">
        <v>0</v>
      </c>
      <c r="D17" s="39">
        <v>6.4</v>
      </c>
      <c r="E17" s="39">
        <v>0.03</v>
      </c>
      <c r="F17" s="39">
        <v>6.43</v>
      </c>
    </row>
    <row r="18" spans="1:6" ht="45.75" thickBot="1" x14ac:dyDescent="0.3">
      <c r="A18" s="31" t="s">
        <v>53</v>
      </c>
      <c r="B18" s="39">
        <v>3.6999999999999998E-2</v>
      </c>
      <c r="C18" s="39">
        <v>0</v>
      </c>
      <c r="D18" s="39">
        <v>6.4</v>
      </c>
      <c r="E18" s="39">
        <v>0.03</v>
      </c>
      <c r="F18" s="39">
        <v>6.43</v>
      </c>
    </row>
    <row r="19" spans="1:6" ht="15.75" thickBot="1" x14ac:dyDescent="0.3">
      <c r="A19" s="31" t="s">
        <v>54</v>
      </c>
      <c r="B19" s="39">
        <v>3.9300000000000002E-2</v>
      </c>
      <c r="C19" s="39">
        <v>0</v>
      </c>
      <c r="D19" s="39">
        <v>0.1</v>
      </c>
      <c r="E19" s="39">
        <v>0.03</v>
      </c>
      <c r="F19" s="39">
        <v>0.13</v>
      </c>
    </row>
    <row r="20" spans="1:6" ht="15.75" thickBot="1" x14ac:dyDescent="0.3">
      <c r="A20" s="31" t="s">
        <v>340</v>
      </c>
      <c r="B20" s="39">
        <v>1.2200000000000001E-2</v>
      </c>
      <c r="C20" s="39">
        <v>0</v>
      </c>
      <c r="D20" s="65">
        <v>0</v>
      </c>
      <c r="E20" s="39">
        <v>0.05</v>
      </c>
      <c r="F20" s="39">
        <v>0.05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5" x14ac:dyDescent="0.25"/>
  <cols>
    <col min="1" max="2" width="33.5703125" customWidth="1"/>
    <col min="3" max="3" width="19.85546875" customWidth="1"/>
  </cols>
  <sheetData>
    <row r="1" spans="1:3" ht="15.75" thickBot="1" x14ac:dyDescent="0.3">
      <c r="A1" s="2" t="s">
        <v>242</v>
      </c>
    </row>
    <row r="2" spans="1:3" ht="48" x14ac:dyDescent="0.25">
      <c r="A2" s="68" t="s">
        <v>55</v>
      </c>
      <c r="B2" s="29" t="s">
        <v>243</v>
      </c>
      <c r="C2" s="29" t="s">
        <v>243</v>
      </c>
    </row>
    <row r="3" spans="1:3" ht="15.75" thickBot="1" x14ac:dyDescent="0.3">
      <c r="A3" s="69"/>
      <c r="B3" s="30" t="s">
        <v>56</v>
      </c>
      <c r="C3" s="30" t="s">
        <v>244</v>
      </c>
    </row>
    <row r="4" spans="1:3" ht="15.75" thickBot="1" x14ac:dyDescent="0.3">
      <c r="A4" s="31" t="s">
        <v>57</v>
      </c>
      <c r="B4" s="39">
        <v>13.1</v>
      </c>
      <c r="C4" s="39">
        <v>14</v>
      </c>
    </row>
    <row r="5" spans="1:3" ht="15.75" thickBot="1" x14ac:dyDescent="0.3">
      <c r="A5" s="31" t="s">
        <v>5</v>
      </c>
      <c r="B5" s="39">
        <v>4</v>
      </c>
      <c r="C5" s="39">
        <v>4</v>
      </c>
    </row>
    <row r="6" spans="1:3" ht="15.75" thickBot="1" x14ac:dyDescent="0.3">
      <c r="A6" s="31" t="s">
        <v>6</v>
      </c>
      <c r="B6" s="39">
        <v>8.8000000000000007</v>
      </c>
      <c r="C6" s="39">
        <v>7.9</v>
      </c>
    </row>
    <row r="7" spans="1:3" ht="15.75" thickBot="1" x14ac:dyDescent="0.3">
      <c r="A7" s="31" t="s">
        <v>7</v>
      </c>
      <c r="B7" s="39">
        <v>10.7</v>
      </c>
      <c r="C7" s="39">
        <v>10.6</v>
      </c>
    </row>
    <row r="8" spans="1:3" ht="15.75" thickBot="1" x14ac:dyDescent="0.3">
      <c r="A8" s="31" t="s">
        <v>58</v>
      </c>
      <c r="B8" s="39">
        <v>4.0999999999999996</v>
      </c>
      <c r="C8" s="39">
        <v>4</v>
      </c>
    </row>
    <row r="9" spans="1:3" ht="15.75" thickBot="1" x14ac:dyDescent="0.3">
      <c r="A9" s="31" t="s">
        <v>8</v>
      </c>
      <c r="B9" s="39" t="s">
        <v>59</v>
      </c>
      <c r="C9" s="39" t="s">
        <v>59</v>
      </c>
    </row>
    <row r="10" spans="1:3" ht="15.75" thickBot="1" x14ac:dyDescent="0.3">
      <c r="A10" s="31" t="s">
        <v>60</v>
      </c>
      <c r="B10" s="39" t="s">
        <v>59</v>
      </c>
      <c r="C10" s="39" t="s">
        <v>59</v>
      </c>
    </row>
  </sheetData>
  <mergeCells count="1">
    <mergeCell ref="A2:A3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cols>
    <col min="1" max="1" width="37.28515625" customWidth="1"/>
    <col min="2" max="2" width="18" customWidth="1"/>
    <col min="6" max="6" width="10.85546875" customWidth="1"/>
  </cols>
  <sheetData>
    <row r="1" spans="1:2" ht="15.75" thickBot="1" x14ac:dyDescent="0.3">
      <c r="A1" s="2" t="s">
        <v>245</v>
      </c>
    </row>
    <row r="2" spans="1:2" ht="48.75" thickBot="1" x14ac:dyDescent="0.3">
      <c r="A2" s="41" t="s">
        <v>61</v>
      </c>
      <c r="B2" s="42" t="s">
        <v>246</v>
      </c>
    </row>
    <row r="3" spans="1:2" ht="15.75" thickBot="1" x14ac:dyDescent="0.3">
      <c r="A3" s="43" t="s">
        <v>62</v>
      </c>
      <c r="B3" s="44">
        <v>23.7</v>
      </c>
    </row>
    <row r="4" spans="1:2" ht="15.75" thickBot="1" x14ac:dyDescent="0.3">
      <c r="A4" s="43" t="s">
        <v>5</v>
      </c>
      <c r="B4" s="44">
        <v>5.7</v>
      </c>
    </row>
  </sheetData>
  <pageMargins left="0.7" right="0.7" top="0.75" bottom="0.75" header="0.3" footer="0.3"/>
  <pageSetup paperSize="9" orientation="portrait" horizontalDpi="300" verticalDpi="300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defaultRowHeight="15" x14ac:dyDescent="0.25"/>
  <cols>
    <col min="1" max="1" width="25.140625" customWidth="1"/>
    <col min="2" max="2" width="13.42578125" customWidth="1"/>
    <col min="3" max="7" width="10" customWidth="1"/>
  </cols>
  <sheetData>
    <row r="1" spans="1:7" ht="15.75" thickBot="1" x14ac:dyDescent="0.3">
      <c r="A1" s="2" t="s">
        <v>247</v>
      </c>
    </row>
    <row r="2" spans="1:7" ht="45" x14ac:dyDescent="0.25">
      <c r="A2" s="68" t="s">
        <v>37</v>
      </c>
      <c r="B2" s="29" t="s">
        <v>13</v>
      </c>
      <c r="C2" s="29" t="s">
        <v>95</v>
      </c>
      <c r="D2" s="29" t="s">
        <v>95</v>
      </c>
      <c r="E2" s="29" t="s">
        <v>95</v>
      </c>
      <c r="F2" s="29" t="s">
        <v>95</v>
      </c>
      <c r="G2" s="29" t="s">
        <v>14</v>
      </c>
    </row>
    <row r="3" spans="1:7" ht="33" x14ac:dyDescent="0.25">
      <c r="A3" s="72"/>
      <c r="B3" s="37" t="s">
        <v>64</v>
      </c>
      <c r="C3" s="37" t="s">
        <v>231</v>
      </c>
      <c r="D3" s="37" t="s">
        <v>231</v>
      </c>
      <c r="E3" s="37" t="s">
        <v>231</v>
      </c>
      <c r="F3" s="37" t="s">
        <v>231</v>
      </c>
      <c r="G3" s="37" t="s">
        <v>235</v>
      </c>
    </row>
    <row r="4" spans="1:7" ht="30.75" thickBot="1" x14ac:dyDescent="0.3">
      <c r="A4" s="69"/>
      <c r="B4" s="38"/>
      <c r="C4" s="30" t="s">
        <v>232</v>
      </c>
      <c r="D4" s="30" t="s">
        <v>233</v>
      </c>
      <c r="E4" s="30" t="s">
        <v>234</v>
      </c>
      <c r="F4" s="30" t="s">
        <v>39</v>
      </c>
      <c r="G4" s="38"/>
    </row>
    <row r="5" spans="1:7" ht="60.75" thickBot="1" x14ac:dyDescent="0.3">
      <c r="A5" s="31" t="s">
        <v>65</v>
      </c>
      <c r="B5" s="40" t="s">
        <v>248</v>
      </c>
      <c r="C5" s="39">
        <v>13.9</v>
      </c>
      <c r="D5" s="39">
        <v>0</v>
      </c>
      <c r="E5" s="39">
        <v>0</v>
      </c>
      <c r="F5" s="39">
        <v>13.9</v>
      </c>
      <c r="G5" s="39">
        <v>18</v>
      </c>
    </row>
    <row r="6" spans="1:7" ht="15.75" thickBot="1" x14ac:dyDescent="0.3">
      <c r="A6" s="31" t="s">
        <v>66</v>
      </c>
      <c r="B6" s="40" t="s">
        <v>248</v>
      </c>
      <c r="C6" s="39">
        <v>3.5</v>
      </c>
      <c r="D6" s="39">
        <v>0</v>
      </c>
      <c r="E6" s="39">
        <v>0</v>
      </c>
      <c r="F6" s="39">
        <v>3.5</v>
      </c>
      <c r="G6" s="39">
        <v>18</v>
      </c>
    </row>
    <row r="7" spans="1:7" ht="30.75" thickBot="1" x14ac:dyDescent="0.3">
      <c r="A7" s="31" t="s">
        <v>67</v>
      </c>
      <c r="B7" s="40" t="s">
        <v>68</v>
      </c>
      <c r="C7" s="39">
        <v>69.599999999999994</v>
      </c>
      <c r="D7" s="39">
        <v>0.08</v>
      </c>
      <c r="E7" s="39">
        <v>0.2</v>
      </c>
      <c r="F7" s="39">
        <v>69.88</v>
      </c>
      <c r="G7" s="39" t="s">
        <v>19</v>
      </c>
    </row>
    <row r="8" spans="1:7" ht="15.75" thickBot="1" x14ac:dyDescent="0.3">
      <c r="A8" s="31" t="s">
        <v>69</v>
      </c>
      <c r="B8" s="40" t="s">
        <v>70</v>
      </c>
      <c r="C8" s="39">
        <v>61</v>
      </c>
      <c r="D8" s="39">
        <v>0.08</v>
      </c>
      <c r="E8" s="39">
        <v>0.2</v>
      </c>
      <c r="F8" s="39">
        <v>61.28</v>
      </c>
      <c r="G8" s="39" t="s">
        <v>19</v>
      </c>
    </row>
    <row r="9" spans="1:7" ht="60.75" thickBot="1" x14ac:dyDescent="0.3">
      <c r="A9" s="31" t="s">
        <v>71</v>
      </c>
      <c r="B9" s="40" t="s">
        <v>249</v>
      </c>
      <c r="C9" s="39">
        <v>67.400000000000006</v>
      </c>
      <c r="D9" s="39">
        <v>0.2</v>
      </c>
      <c r="E9" s="39">
        <v>0.2</v>
      </c>
      <c r="F9" s="39">
        <v>67.8</v>
      </c>
      <c r="G9" s="39">
        <v>17.2</v>
      </c>
    </row>
    <row r="10" spans="1:7" ht="15.75" thickBot="1" x14ac:dyDescent="0.3">
      <c r="A10" s="31" t="s">
        <v>72</v>
      </c>
      <c r="B10" s="40" t="s">
        <v>250</v>
      </c>
      <c r="C10" s="39">
        <v>67</v>
      </c>
      <c r="D10" s="39">
        <v>0.2</v>
      </c>
      <c r="E10" s="39">
        <v>0.2</v>
      </c>
      <c r="F10" s="39">
        <v>67.400000000000006</v>
      </c>
      <c r="G10" s="39">
        <v>18</v>
      </c>
    </row>
    <row r="11" spans="1:7" ht="30.75" thickBot="1" x14ac:dyDescent="0.3">
      <c r="A11" s="31" t="s">
        <v>73</v>
      </c>
      <c r="B11" s="40" t="s">
        <v>251</v>
      </c>
      <c r="C11" s="39">
        <v>68.900000000000006</v>
      </c>
      <c r="D11" s="39">
        <v>0.01</v>
      </c>
      <c r="E11" s="39">
        <v>0.2</v>
      </c>
      <c r="F11" s="39">
        <v>69.11</v>
      </c>
      <c r="G11" s="39">
        <v>18</v>
      </c>
    </row>
    <row r="12" spans="1:7" ht="30.75" thickBot="1" x14ac:dyDescent="0.3">
      <c r="A12" s="31" t="s">
        <v>74</v>
      </c>
      <c r="B12" s="40" t="s">
        <v>252</v>
      </c>
      <c r="C12" s="39">
        <v>69.599999999999994</v>
      </c>
      <c r="D12" s="39">
        <v>0.02</v>
      </c>
      <c r="E12" s="39">
        <v>0.2</v>
      </c>
      <c r="F12" s="39">
        <v>69.819999999999993</v>
      </c>
      <c r="G12" s="39">
        <v>18</v>
      </c>
    </row>
    <row r="13" spans="1:7" ht="15.75" thickBot="1" x14ac:dyDescent="0.3">
      <c r="A13" s="31" t="s">
        <v>76</v>
      </c>
      <c r="B13" s="40" t="s">
        <v>253</v>
      </c>
      <c r="C13" s="39">
        <v>69.5</v>
      </c>
      <c r="D13" s="39">
        <v>0.03</v>
      </c>
      <c r="E13" s="39">
        <v>0.2</v>
      </c>
      <c r="F13" s="39">
        <v>69.73</v>
      </c>
      <c r="G13" s="39">
        <v>18</v>
      </c>
    </row>
    <row r="14" spans="1:7" ht="15.75" thickBot="1" x14ac:dyDescent="0.3">
      <c r="A14" s="31" t="s">
        <v>77</v>
      </c>
      <c r="B14" s="40" t="s">
        <v>254</v>
      </c>
      <c r="C14" s="39">
        <v>69.900000000000006</v>
      </c>
      <c r="D14" s="39">
        <v>0.1</v>
      </c>
      <c r="E14" s="39">
        <v>0.2</v>
      </c>
      <c r="F14" s="39">
        <v>70.2</v>
      </c>
      <c r="G14" s="39">
        <v>17.3</v>
      </c>
    </row>
    <row r="15" spans="1:7" ht="15.75" thickBot="1" x14ac:dyDescent="0.3">
      <c r="A15" s="31" t="s">
        <v>79</v>
      </c>
      <c r="B15" s="40" t="s">
        <v>255</v>
      </c>
      <c r="C15" s="39">
        <v>73.599999999999994</v>
      </c>
      <c r="D15" s="39">
        <v>0.04</v>
      </c>
      <c r="E15" s="39">
        <v>0.2</v>
      </c>
      <c r="F15" s="39">
        <v>73.84</v>
      </c>
      <c r="G15" s="39">
        <v>18</v>
      </c>
    </row>
    <row r="16" spans="1:7" ht="30.75" thickBot="1" x14ac:dyDescent="0.3">
      <c r="A16" s="31" t="s">
        <v>80</v>
      </c>
      <c r="B16" s="40" t="s">
        <v>256</v>
      </c>
      <c r="C16" s="39">
        <v>69.7</v>
      </c>
      <c r="D16" s="39">
        <v>0.03</v>
      </c>
      <c r="E16" s="39">
        <v>0.2</v>
      </c>
      <c r="F16" s="39">
        <v>69.930000000000007</v>
      </c>
      <c r="G16" s="39">
        <v>18</v>
      </c>
    </row>
    <row r="17" spans="1:7" ht="30.75" thickBot="1" x14ac:dyDescent="0.3">
      <c r="A17" s="31" t="s">
        <v>81</v>
      </c>
      <c r="B17" s="40" t="s">
        <v>256</v>
      </c>
      <c r="C17" s="39">
        <v>69.7</v>
      </c>
      <c r="D17" s="39">
        <v>0.03</v>
      </c>
      <c r="E17" s="39">
        <v>0.2</v>
      </c>
      <c r="F17" s="39">
        <v>69.930000000000007</v>
      </c>
      <c r="G17" s="39">
        <v>18</v>
      </c>
    </row>
    <row r="18" spans="1:7" ht="30.75" thickBot="1" x14ac:dyDescent="0.3">
      <c r="A18" s="31" t="s">
        <v>82</v>
      </c>
      <c r="B18" s="40" t="s">
        <v>257</v>
      </c>
      <c r="C18" s="39">
        <v>60.2</v>
      </c>
      <c r="D18" s="39">
        <v>0.2</v>
      </c>
      <c r="E18" s="39">
        <v>0.2</v>
      </c>
      <c r="F18" s="39">
        <v>60.6</v>
      </c>
      <c r="G18" s="39">
        <v>20.2</v>
      </c>
    </row>
    <row r="19" spans="1:7" ht="15.75" thickBot="1" x14ac:dyDescent="0.3">
      <c r="A19" s="31" t="s">
        <v>83</v>
      </c>
      <c r="B19" s="40" t="s">
        <v>258</v>
      </c>
      <c r="C19" s="39">
        <v>69.8</v>
      </c>
      <c r="D19" s="39">
        <v>0.01</v>
      </c>
      <c r="E19" s="39">
        <v>0.01</v>
      </c>
      <c r="F19" s="39">
        <v>69.819999999999993</v>
      </c>
      <c r="G19" s="39">
        <v>18</v>
      </c>
    </row>
    <row r="20" spans="1:7" ht="15.75" thickBot="1" x14ac:dyDescent="0.3">
      <c r="A20" s="31" t="s">
        <v>84</v>
      </c>
      <c r="B20" s="40" t="s">
        <v>85</v>
      </c>
      <c r="C20" s="39">
        <v>92.6</v>
      </c>
      <c r="D20" s="39">
        <v>0.08</v>
      </c>
      <c r="E20" s="39">
        <v>0.2</v>
      </c>
      <c r="F20" s="39">
        <v>92.88</v>
      </c>
      <c r="G20" s="39">
        <v>18</v>
      </c>
    </row>
    <row r="21" spans="1:7" ht="15.75" thickBot="1" x14ac:dyDescent="0.3">
      <c r="A21" s="31" t="s">
        <v>86</v>
      </c>
      <c r="B21" s="40" t="s">
        <v>87</v>
      </c>
      <c r="C21" s="39">
        <v>54.7</v>
      </c>
      <c r="D21" s="39">
        <v>0.03</v>
      </c>
      <c r="E21" s="39">
        <v>0.03</v>
      </c>
      <c r="F21" s="39">
        <v>54.76</v>
      </c>
      <c r="G21" s="39">
        <v>18</v>
      </c>
    </row>
    <row r="22" spans="1:7" ht="15.75" thickBot="1" x14ac:dyDescent="0.3">
      <c r="A22" s="31" t="s">
        <v>88</v>
      </c>
      <c r="B22" s="40" t="s">
        <v>85</v>
      </c>
      <c r="C22" s="39">
        <v>92.6</v>
      </c>
      <c r="D22" s="39">
        <v>0.08</v>
      </c>
      <c r="E22" s="39">
        <v>0.2</v>
      </c>
      <c r="F22" s="39">
        <v>92.88</v>
      </c>
      <c r="G22" s="39">
        <v>18</v>
      </c>
    </row>
    <row r="23" spans="1:7" ht="45.75" thickBot="1" x14ac:dyDescent="0.3">
      <c r="A23" s="31" t="s">
        <v>89</v>
      </c>
      <c r="B23" s="40" t="s">
        <v>256</v>
      </c>
      <c r="C23" s="39">
        <v>69.8</v>
      </c>
      <c r="D23" s="39">
        <v>0.02</v>
      </c>
      <c r="E23" s="39">
        <v>0.1</v>
      </c>
      <c r="F23" s="39">
        <v>69.92</v>
      </c>
      <c r="G23" s="39">
        <v>18</v>
      </c>
    </row>
    <row r="24" spans="1:7" ht="15.75" thickBot="1" x14ac:dyDescent="0.3">
      <c r="A24" s="31" t="s">
        <v>90</v>
      </c>
      <c r="B24" s="40" t="s">
        <v>259</v>
      </c>
      <c r="C24" s="39">
        <v>0</v>
      </c>
      <c r="D24" s="39">
        <v>0.08</v>
      </c>
      <c r="E24" s="39">
        <v>0.2</v>
      </c>
      <c r="F24" s="39">
        <v>0.28000000000000003</v>
      </c>
      <c r="G24" s="39" t="s">
        <v>19</v>
      </c>
    </row>
    <row r="25" spans="1:7" ht="45.75" thickBot="1" x14ac:dyDescent="0.3">
      <c r="A25" s="31" t="s">
        <v>91</v>
      </c>
      <c r="B25" s="40" t="s">
        <v>260</v>
      </c>
      <c r="C25" s="39">
        <v>0</v>
      </c>
      <c r="D25" s="39">
        <v>0.08</v>
      </c>
      <c r="E25" s="39">
        <v>0.2</v>
      </c>
      <c r="F25" s="39">
        <v>0.28000000000000003</v>
      </c>
      <c r="G25" s="39" t="s">
        <v>19</v>
      </c>
    </row>
    <row r="26" spans="1:7" ht="45.75" thickBot="1" x14ac:dyDescent="0.3">
      <c r="A26" s="31" t="s">
        <v>92</v>
      </c>
      <c r="B26" s="40" t="s">
        <v>260</v>
      </c>
      <c r="C26" s="39">
        <v>0</v>
      </c>
      <c r="D26" s="39">
        <v>0.08</v>
      </c>
      <c r="E26" s="39">
        <v>0.2</v>
      </c>
      <c r="F26" s="39">
        <v>0.28000000000000003</v>
      </c>
      <c r="G26" s="39" t="s">
        <v>19</v>
      </c>
    </row>
    <row r="27" spans="1:7" ht="30.75" thickBot="1" x14ac:dyDescent="0.3">
      <c r="A27" s="31" t="s">
        <v>93</v>
      </c>
      <c r="B27" s="40" t="s">
        <v>75</v>
      </c>
      <c r="C27" s="39">
        <v>0</v>
      </c>
      <c r="D27" s="39">
        <v>0.02</v>
      </c>
      <c r="E27" s="39">
        <v>0.2</v>
      </c>
      <c r="F27" s="39">
        <v>0.22</v>
      </c>
      <c r="G27" s="39" t="s">
        <v>19</v>
      </c>
    </row>
    <row r="28" spans="1:7" ht="15.75" thickBot="1" x14ac:dyDescent="0.3">
      <c r="A28" s="31" t="s">
        <v>94</v>
      </c>
      <c r="B28" s="40" t="s">
        <v>78</v>
      </c>
      <c r="C28" s="39">
        <v>0</v>
      </c>
      <c r="D28" s="39">
        <v>0.1</v>
      </c>
      <c r="E28" s="39">
        <v>0.2</v>
      </c>
      <c r="F28" s="39">
        <v>0.3</v>
      </c>
      <c r="G28" s="39" t="s">
        <v>19</v>
      </c>
    </row>
  </sheetData>
  <mergeCells count="1">
    <mergeCell ref="A2:A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/>
  </sheetViews>
  <sheetFormatPr defaultRowHeight="15" x14ac:dyDescent="0.25"/>
  <cols>
    <col min="1" max="2" width="35" customWidth="1"/>
    <col min="3" max="3" width="9.140625" customWidth="1"/>
    <col min="4" max="8" width="9.7109375" customWidth="1"/>
  </cols>
  <sheetData>
    <row r="1" spans="1:8" ht="15.75" thickBot="1" x14ac:dyDescent="0.3">
      <c r="A1" s="2" t="s">
        <v>261</v>
      </c>
    </row>
    <row r="2" spans="1:8" ht="45" x14ac:dyDescent="0.25">
      <c r="A2" s="68" t="s">
        <v>262</v>
      </c>
      <c r="B2" s="68" t="s">
        <v>37</v>
      </c>
      <c r="C2" s="29" t="s">
        <v>13</v>
      </c>
      <c r="D2" s="29" t="s">
        <v>95</v>
      </c>
      <c r="E2" s="29" t="s">
        <v>95</v>
      </c>
      <c r="F2" s="29" t="s">
        <v>95</v>
      </c>
      <c r="G2" s="29" t="s">
        <v>95</v>
      </c>
      <c r="H2" s="29" t="s">
        <v>14</v>
      </c>
    </row>
    <row r="3" spans="1:8" ht="48" x14ac:dyDescent="0.25">
      <c r="A3" s="72"/>
      <c r="B3" s="72"/>
      <c r="C3" s="37" t="s">
        <v>64</v>
      </c>
      <c r="D3" s="37" t="s">
        <v>231</v>
      </c>
      <c r="E3" s="37" t="s">
        <v>231</v>
      </c>
      <c r="F3" s="37" t="s">
        <v>231</v>
      </c>
      <c r="G3" s="37" t="s">
        <v>231</v>
      </c>
      <c r="H3" s="37" t="s">
        <v>235</v>
      </c>
    </row>
    <row r="4" spans="1:8" ht="30.75" thickBot="1" x14ac:dyDescent="0.3">
      <c r="A4" s="69"/>
      <c r="B4" s="69"/>
      <c r="C4" s="38"/>
      <c r="D4" s="30" t="s">
        <v>232</v>
      </c>
      <c r="E4" s="30" t="s">
        <v>233</v>
      </c>
      <c r="F4" s="30" t="s">
        <v>234</v>
      </c>
      <c r="G4" s="30" t="s">
        <v>39</v>
      </c>
      <c r="H4" s="38"/>
    </row>
    <row r="5" spans="1:8" ht="15.75" thickBot="1" x14ac:dyDescent="0.3">
      <c r="A5" s="31" t="s">
        <v>96</v>
      </c>
      <c r="B5" s="39" t="s">
        <v>97</v>
      </c>
      <c r="C5" s="40">
        <v>34.200000000000003</v>
      </c>
      <c r="D5" s="39">
        <v>67.400000000000006</v>
      </c>
      <c r="E5" s="39" t="s">
        <v>98</v>
      </c>
      <c r="F5" s="39" t="s">
        <v>99</v>
      </c>
      <c r="G5" s="39">
        <v>67.62</v>
      </c>
      <c r="H5" s="39">
        <v>17.2</v>
      </c>
    </row>
    <row r="6" spans="1:8" ht="15.75" thickBot="1" x14ac:dyDescent="0.3">
      <c r="A6" s="31" t="s">
        <v>96</v>
      </c>
      <c r="B6" s="39" t="s">
        <v>77</v>
      </c>
      <c r="C6" s="40">
        <v>38.6</v>
      </c>
      <c r="D6" s="39">
        <v>69.900000000000006</v>
      </c>
      <c r="E6" s="39" t="s">
        <v>100</v>
      </c>
      <c r="F6" s="39" t="s">
        <v>101</v>
      </c>
      <c r="G6" s="39">
        <v>70.41</v>
      </c>
      <c r="H6" s="39">
        <v>17.3</v>
      </c>
    </row>
    <row r="7" spans="1:8" ht="15.75" thickBot="1" x14ac:dyDescent="0.3">
      <c r="A7" s="31" t="s">
        <v>96</v>
      </c>
      <c r="B7" s="39" t="s">
        <v>82</v>
      </c>
      <c r="C7" s="40">
        <v>26.2</v>
      </c>
      <c r="D7" s="39">
        <v>60.2</v>
      </c>
      <c r="E7" s="39" t="s">
        <v>101</v>
      </c>
      <c r="F7" s="39" t="s">
        <v>102</v>
      </c>
      <c r="G7" s="39">
        <v>61</v>
      </c>
      <c r="H7" s="39">
        <v>20.2</v>
      </c>
    </row>
    <row r="8" spans="1:8" ht="15.75" thickBot="1" x14ac:dyDescent="0.3">
      <c r="A8" s="31" t="s">
        <v>96</v>
      </c>
      <c r="B8" s="39" t="s">
        <v>79</v>
      </c>
      <c r="C8" s="40">
        <v>39.700000000000003</v>
      </c>
      <c r="D8" s="39">
        <v>73.599999999999994</v>
      </c>
      <c r="E8" s="39">
        <v>0.08</v>
      </c>
      <c r="F8" s="39">
        <v>0.5</v>
      </c>
      <c r="G8" s="39">
        <v>74.180000000000007</v>
      </c>
      <c r="H8" s="39">
        <v>18</v>
      </c>
    </row>
    <row r="9" spans="1:8" ht="15.75" thickBot="1" x14ac:dyDescent="0.3">
      <c r="A9" s="31" t="s">
        <v>96</v>
      </c>
      <c r="B9" s="39" t="s">
        <v>103</v>
      </c>
      <c r="C9" s="40">
        <v>23.4</v>
      </c>
      <c r="D9" s="39">
        <v>0</v>
      </c>
      <c r="E9" s="39" t="s">
        <v>99</v>
      </c>
      <c r="F9" s="39" t="s">
        <v>99</v>
      </c>
      <c r="G9" s="39">
        <v>0.4</v>
      </c>
      <c r="H9" s="39" t="s">
        <v>19</v>
      </c>
    </row>
    <row r="10" spans="1:8" ht="15.75" thickBot="1" x14ac:dyDescent="0.3">
      <c r="A10" s="31" t="s">
        <v>96</v>
      </c>
      <c r="B10" s="39" t="s">
        <v>90</v>
      </c>
      <c r="C10" s="40">
        <v>34.6</v>
      </c>
      <c r="D10" s="39">
        <v>0</v>
      </c>
      <c r="E10" s="39">
        <v>0.8</v>
      </c>
      <c r="F10" s="39">
        <v>1.7</v>
      </c>
      <c r="G10" s="39">
        <v>2.5</v>
      </c>
      <c r="H10" s="39" t="s">
        <v>19</v>
      </c>
    </row>
    <row r="11" spans="1:8" ht="15.75" thickBot="1" x14ac:dyDescent="0.3">
      <c r="A11" s="31" t="s">
        <v>96</v>
      </c>
      <c r="B11" s="39" t="s">
        <v>94</v>
      </c>
      <c r="C11" s="40">
        <v>38.6</v>
      </c>
      <c r="D11" s="39">
        <v>0</v>
      </c>
      <c r="E11" s="39" t="s">
        <v>100</v>
      </c>
      <c r="F11" s="39" t="s">
        <v>101</v>
      </c>
      <c r="G11" s="39">
        <v>0.51</v>
      </c>
      <c r="H11" s="39" t="s">
        <v>19</v>
      </c>
    </row>
    <row r="12" spans="1:8" ht="15.75" thickBot="1" x14ac:dyDescent="0.3">
      <c r="A12" s="31" t="s">
        <v>96</v>
      </c>
      <c r="B12" s="39" t="s">
        <v>104</v>
      </c>
      <c r="C12" s="40">
        <v>23.4</v>
      </c>
      <c r="D12" s="39">
        <v>0</v>
      </c>
      <c r="E12" s="39">
        <v>0.8</v>
      </c>
      <c r="F12" s="39">
        <v>1.7</v>
      </c>
      <c r="G12" s="39">
        <v>2.5</v>
      </c>
      <c r="H12" s="39" t="s">
        <v>19</v>
      </c>
    </row>
    <row r="13" spans="1:8" ht="33" thickBot="1" x14ac:dyDescent="0.3">
      <c r="A13" s="31" t="s">
        <v>105</v>
      </c>
      <c r="B13" s="39" t="s">
        <v>106</v>
      </c>
      <c r="C13" s="40" t="s">
        <v>107</v>
      </c>
      <c r="D13" s="39">
        <v>51.4</v>
      </c>
      <c r="E13" s="39">
        <v>7.3</v>
      </c>
      <c r="F13" s="39">
        <v>0.3</v>
      </c>
      <c r="G13" s="39">
        <v>59</v>
      </c>
      <c r="H13" s="39">
        <v>18</v>
      </c>
    </row>
    <row r="14" spans="1:8" ht="15.75" thickBot="1" x14ac:dyDescent="0.3">
      <c r="A14" s="31" t="s">
        <v>105</v>
      </c>
      <c r="B14" s="39" t="s">
        <v>49</v>
      </c>
      <c r="C14" s="40">
        <v>25.3</v>
      </c>
      <c r="D14" s="39">
        <v>51.4</v>
      </c>
      <c r="E14" s="39">
        <v>7.3</v>
      </c>
      <c r="F14" s="39">
        <v>0.3</v>
      </c>
      <c r="G14" s="39">
        <v>59</v>
      </c>
      <c r="H14" s="39">
        <v>18</v>
      </c>
    </row>
    <row r="15" spans="1:8" ht="33" thickBot="1" x14ac:dyDescent="0.3">
      <c r="A15" s="31" t="s">
        <v>108</v>
      </c>
      <c r="B15" s="39" t="s">
        <v>106</v>
      </c>
      <c r="C15" s="40" t="s">
        <v>107</v>
      </c>
      <c r="D15" s="39">
        <v>51.4</v>
      </c>
      <c r="E15" s="39">
        <v>2.8</v>
      </c>
      <c r="F15" s="39">
        <v>0.3</v>
      </c>
      <c r="G15" s="39">
        <v>54.5</v>
      </c>
      <c r="H15" s="39">
        <v>18</v>
      </c>
    </row>
    <row r="16" spans="1:8" ht="15.75" thickBot="1" x14ac:dyDescent="0.3">
      <c r="A16" s="31" t="s">
        <v>108</v>
      </c>
      <c r="B16" s="39" t="s">
        <v>49</v>
      </c>
      <c r="C16" s="40">
        <v>25.3</v>
      </c>
      <c r="D16" s="39">
        <v>51.4</v>
      </c>
      <c r="E16" s="39">
        <v>2.8</v>
      </c>
      <c r="F16" s="39">
        <v>0.3</v>
      </c>
      <c r="G16" s="39">
        <v>54.5</v>
      </c>
      <c r="H16" s="39">
        <v>18</v>
      </c>
    </row>
    <row r="17" spans="1:8" ht="15.75" thickBot="1" x14ac:dyDescent="0.3">
      <c r="A17" s="31" t="s">
        <v>108</v>
      </c>
      <c r="B17" s="39" t="s">
        <v>109</v>
      </c>
      <c r="C17" s="40">
        <v>38.6</v>
      </c>
      <c r="D17" s="39">
        <v>69.900000000000006</v>
      </c>
      <c r="E17" s="39">
        <v>7.0000000000000007E-2</v>
      </c>
      <c r="F17" s="39">
        <v>0.4</v>
      </c>
      <c r="G17" s="39">
        <v>70.37</v>
      </c>
      <c r="H17" s="39">
        <v>17.3</v>
      </c>
    </row>
    <row r="18" spans="1:8" ht="15.75" thickBot="1" x14ac:dyDescent="0.3">
      <c r="A18" s="31" t="s">
        <v>108</v>
      </c>
      <c r="B18" s="39" t="s">
        <v>110</v>
      </c>
      <c r="C18" s="40">
        <v>38.6</v>
      </c>
      <c r="D18" s="39">
        <v>69.900000000000006</v>
      </c>
      <c r="E18" s="39">
        <v>0.1</v>
      </c>
      <c r="F18" s="39">
        <v>0.4</v>
      </c>
      <c r="G18" s="39">
        <v>70.400000000000006</v>
      </c>
      <c r="H18" s="39">
        <v>17.3</v>
      </c>
    </row>
    <row r="19" spans="1:8" ht="15.75" thickBot="1" x14ac:dyDescent="0.3">
      <c r="A19" s="31" t="s">
        <v>108</v>
      </c>
      <c r="B19" s="39" t="s">
        <v>111</v>
      </c>
      <c r="C19" s="40">
        <v>38.6</v>
      </c>
      <c r="D19" s="39">
        <v>69.900000000000006</v>
      </c>
      <c r="E19" s="39">
        <v>0.2</v>
      </c>
      <c r="F19" s="39">
        <v>0.4</v>
      </c>
      <c r="G19" s="39">
        <v>70.5</v>
      </c>
      <c r="H19" s="39">
        <v>17.3</v>
      </c>
    </row>
    <row r="20" spans="1:8" ht="15.75" thickBot="1" x14ac:dyDescent="0.3">
      <c r="A20" s="31" t="s">
        <v>108</v>
      </c>
      <c r="B20" s="39" t="s">
        <v>263</v>
      </c>
      <c r="C20" s="40">
        <v>38.6</v>
      </c>
      <c r="D20" s="39">
        <v>0</v>
      </c>
      <c r="E20" s="39">
        <v>7.0000000000000007E-2</v>
      </c>
      <c r="F20" s="39">
        <v>0.4</v>
      </c>
      <c r="G20" s="39">
        <v>0.47</v>
      </c>
      <c r="H20" s="39" t="s">
        <v>19</v>
      </c>
    </row>
    <row r="21" spans="1:8" ht="15.75" thickBot="1" x14ac:dyDescent="0.3">
      <c r="A21" s="31" t="s">
        <v>108</v>
      </c>
      <c r="B21" s="39" t="s">
        <v>264</v>
      </c>
      <c r="C21" s="40">
        <v>38.6</v>
      </c>
      <c r="D21" s="39">
        <v>0</v>
      </c>
      <c r="E21" s="39">
        <v>0.1</v>
      </c>
      <c r="F21" s="39">
        <v>0.4</v>
      </c>
      <c r="G21" s="39">
        <v>0.5</v>
      </c>
      <c r="H21" s="39" t="s">
        <v>19</v>
      </c>
    </row>
    <row r="22" spans="1:8" ht="15.75" thickBot="1" x14ac:dyDescent="0.3">
      <c r="A22" s="31" t="s">
        <v>108</v>
      </c>
      <c r="B22" s="39" t="s">
        <v>265</v>
      </c>
      <c r="C22" s="40">
        <v>38.6</v>
      </c>
      <c r="D22" s="39">
        <v>0</v>
      </c>
      <c r="E22" s="39">
        <v>0.2</v>
      </c>
      <c r="F22" s="39">
        <v>0.4</v>
      </c>
      <c r="G22" s="39">
        <v>0.6</v>
      </c>
      <c r="H22" s="39" t="s">
        <v>19</v>
      </c>
    </row>
    <row r="23" spans="1:8" ht="15.75" thickBot="1" x14ac:dyDescent="0.3">
      <c r="A23" s="31" t="s">
        <v>112</v>
      </c>
      <c r="B23" s="39" t="s">
        <v>113</v>
      </c>
      <c r="C23" s="40">
        <v>33.1</v>
      </c>
      <c r="D23" s="39">
        <v>67</v>
      </c>
      <c r="E23" s="39">
        <v>0.06</v>
      </c>
      <c r="F23" s="39">
        <v>0.6</v>
      </c>
      <c r="G23" s="39">
        <v>67.66</v>
      </c>
      <c r="H23" s="39">
        <v>18</v>
      </c>
    </row>
    <row r="24" spans="1:8" ht="15.75" thickBot="1" x14ac:dyDescent="0.3">
      <c r="A24" s="31" t="s">
        <v>112</v>
      </c>
      <c r="B24" s="39" t="s">
        <v>114</v>
      </c>
      <c r="C24" s="40">
        <v>36.799999999999997</v>
      </c>
      <c r="D24" s="39">
        <v>69.599999999999994</v>
      </c>
      <c r="E24" s="39">
        <v>0.01</v>
      </c>
      <c r="F24" s="39">
        <v>0.6</v>
      </c>
      <c r="G24" s="39">
        <v>70.209999999999994</v>
      </c>
      <c r="H24" s="39">
        <v>18</v>
      </c>
    </row>
    <row r="25" spans="1:8" ht="15.75" thickBot="1" x14ac:dyDescent="0.3">
      <c r="A25" s="31" t="s">
        <v>112</v>
      </c>
      <c r="B25" s="39" t="s">
        <v>93</v>
      </c>
      <c r="C25" s="40">
        <v>36.799999999999997</v>
      </c>
      <c r="D25" s="39">
        <v>0</v>
      </c>
      <c r="E25" s="39">
        <v>0.01</v>
      </c>
      <c r="F25" s="39">
        <v>0.6</v>
      </c>
      <c r="G25" s="39">
        <v>0.61</v>
      </c>
      <c r="H25" s="39" t="s">
        <v>19</v>
      </c>
    </row>
  </sheetData>
  <mergeCells count="2">
    <mergeCell ref="A2:A4"/>
    <mergeCell ref="B2:B4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B13" sqref="B13"/>
    </sheetView>
  </sheetViews>
  <sheetFormatPr defaultRowHeight="15" x14ac:dyDescent="0.25"/>
  <cols>
    <col min="1" max="2" width="29.28515625" customWidth="1"/>
  </cols>
  <sheetData>
    <row r="1" spans="1:2" ht="15.75" thickBot="1" x14ac:dyDescent="0.3">
      <c r="A1" s="2" t="s">
        <v>266</v>
      </c>
    </row>
    <row r="2" spans="1:2" ht="15.75" thickBot="1" x14ac:dyDescent="0.3">
      <c r="A2" s="45" t="s">
        <v>115</v>
      </c>
      <c r="B2" s="46" t="s">
        <v>116</v>
      </c>
    </row>
    <row r="3" spans="1:2" ht="16.5" thickTop="1" thickBot="1" x14ac:dyDescent="0.3">
      <c r="A3" s="47" t="s">
        <v>117</v>
      </c>
      <c r="B3" s="48">
        <v>1.7</v>
      </c>
    </row>
    <row r="4" spans="1:2" ht="15.75" thickBot="1" x14ac:dyDescent="0.3">
      <c r="A4" s="47" t="s">
        <v>118</v>
      </c>
      <c r="B4" s="48">
        <v>15.7</v>
      </c>
    </row>
    <row r="5" spans="1:2" ht="15.75" thickBot="1" x14ac:dyDescent="0.3">
      <c r="A5" s="47" t="s">
        <v>119</v>
      </c>
      <c r="B5" s="48">
        <v>2.5</v>
      </c>
    </row>
    <row r="6" spans="1:2" ht="15.75" thickBot="1" x14ac:dyDescent="0.3">
      <c r="A6" s="47" t="s">
        <v>120</v>
      </c>
      <c r="B6" s="48">
        <v>3.5</v>
      </c>
    </row>
    <row r="7" spans="1:2" ht="15.75" thickBot="1" x14ac:dyDescent="0.3">
      <c r="A7" s="47" t="s">
        <v>121</v>
      </c>
      <c r="B7" s="48">
        <v>2.5</v>
      </c>
    </row>
    <row r="8" spans="1:2" ht="15.75" thickBot="1" x14ac:dyDescent="0.3">
      <c r="A8" s="47" t="s">
        <v>122</v>
      </c>
      <c r="B8" s="48">
        <v>6.7</v>
      </c>
    </row>
    <row r="9" spans="1:2" ht="15.75" thickBot="1" x14ac:dyDescent="0.3">
      <c r="A9" s="47" t="s">
        <v>123</v>
      </c>
      <c r="B9" s="48">
        <v>10.8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selection activeCell="A4" sqref="A4"/>
    </sheetView>
  </sheetViews>
  <sheetFormatPr defaultRowHeight="15" x14ac:dyDescent="0.25"/>
  <cols>
    <col min="1" max="2" width="40" customWidth="1"/>
  </cols>
  <sheetData>
    <row r="1" spans="1:2" ht="15.75" thickBot="1" x14ac:dyDescent="0.3">
      <c r="A1" s="2" t="s">
        <v>267</v>
      </c>
    </row>
    <row r="2" spans="1:2" ht="15.75" thickBot="1" x14ac:dyDescent="0.3">
      <c r="A2" s="45" t="s">
        <v>124</v>
      </c>
      <c r="B2" s="46" t="s">
        <v>125</v>
      </c>
    </row>
    <row r="3" spans="1:2" ht="16.5" thickTop="1" thickBot="1" x14ac:dyDescent="0.3">
      <c r="A3" t="s">
        <v>126</v>
      </c>
      <c r="B3" s="49">
        <v>1760</v>
      </c>
    </row>
    <row r="4" spans="1:2" ht="15.75" thickBot="1" x14ac:dyDescent="0.3">
      <c r="A4" s="47" t="s">
        <v>127</v>
      </c>
      <c r="B4" s="48">
        <v>677</v>
      </c>
    </row>
    <row r="5" spans="1:2" ht="15.75" thickBot="1" x14ac:dyDescent="0.3">
      <c r="A5" s="47" t="s">
        <v>128</v>
      </c>
      <c r="B5" s="49">
        <v>1300</v>
      </c>
    </row>
    <row r="6" spans="1:2" ht="15.75" thickBot="1" x14ac:dyDescent="0.3">
      <c r="A6" s="47" t="s">
        <v>268</v>
      </c>
      <c r="B6" s="49">
        <v>1924</v>
      </c>
    </row>
    <row r="7" spans="1:2" ht="15.75" thickBot="1" x14ac:dyDescent="0.3">
      <c r="A7" s="47" t="s">
        <v>269</v>
      </c>
      <c r="B7" s="49">
        <v>3943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B10" sqref="B10"/>
    </sheetView>
  </sheetViews>
  <sheetFormatPr defaultRowHeight="15" x14ac:dyDescent="0.25"/>
  <cols>
    <col min="1" max="3" width="24.140625" customWidth="1"/>
  </cols>
  <sheetData>
    <row r="1" spans="1:2" ht="15.75" thickBot="1" x14ac:dyDescent="0.3">
      <c r="A1" s="2" t="s">
        <v>270</v>
      </c>
    </row>
    <row r="2" spans="1:2" ht="33.75" thickBot="1" x14ac:dyDescent="0.3">
      <c r="A2" s="41" t="s">
        <v>129</v>
      </c>
      <c r="B2" s="42" t="s">
        <v>271</v>
      </c>
    </row>
    <row r="3" spans="1:2" ht="30.75" thickBot="1" x14ac:dyDescent="0.3">
      <c r="A3" s="31" t="s">
        <v>130</v>
      </c>
      <c r="B3" s="33">
        <v>0.44</v>
      </c>
    </row>
    <row r="4" spans="1:2" ht="15.75" thickBot="1" x14ac:dyDescent="0.3">
      <c r="A4" s="31" t="s">
        <v>131</v>
      </c>
      <c r="B4" s="33">
        <v>0.52200000000000002</v>
      </c>
    </row>
    <row r="5" spans="1:2" ht="15.75" thickBot="1" x14ac:dyDescent="0.3">
      <c r="A5" s="31" t="s">
        <v>132</v>
      </c>
      <c r="B5" s="33">
        <v>0.47699999999999998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>
      <selection activeCell="F9" sqref="F9"/>
    </sheetView>
  </sheetViews>
  <sheetFormatPr defaultRowHeight="15" x14ac:dyDescent="0.25"/>
  <cols>
    <col min="1" max="2" width="18" customWidth="1"/>
  </cols>
  <sheetData>
    <row r="1" spans="1:3" ht="15.75" thickBot="1" x14ac:dyDescent="0.3">
      <c r="A1" s="2" t="s">
        <v>272</v>
      </c>
    </row>
    <row r="2" spans="1:3" ht="93.75" thickBot="1" x14ac:dyDescent="0.3">
      <c r="A2" s="41" t="s">
        <v>133</v>
      </c>
      <c r="B2" s="50" t="s">
        <v>134</v>
      </c>
      <c r="C2" s="50" t="s">
        <v>273</v>
      </c>
    </row>
    <row r="3" spans="1:3" ht="15.75" thickBot="1" x14ac:dyDescent="0.3">
      <c r="A3" s="31" t="s">
        <v>62</v>
      </c>
      <c r="B3" s="51">
        <v>6.1000000000000004E-3</v>
      </c>
      <c r="C3" s="51">
        <v>2.2200000000000001E-2</v>
      </c>
    </row>
    <row r="4" spans="1:3" ht="15.75" thickBot="1" x14ac:dyDescent="0.3">
      <c r="A4" s="31" t="s">
        <v>5</v>
      </c>
      <c r="B4" s="51">
        <v>2.0000000000000001E-4</v>
      </c>
      <c r="C4" s="51">
        <v>8.9999999999999998E-4</v>
      </c>
    </row>
    <row r="5" spans="1:3" ht="15.75" thickBot="1" x14ac:dyDescent="0.3">
      <c r="A5" s="31" t="s">
        <v>6</v>
      </c>
      <c r="B5" s="51">
        <v>2.5000000000000001E-3</v>
      </c>
      <c r="C5" s="51">
        <v>9.1999999999999998E-3</v>
      </c>
    </row>
    <row r="6" spans="1:3" ht="15.75" thickBot="1" x14ac:dyDescent="0.3">
      <c r="A6" s="31" t="s">
        <v>58</v>
      </c>
      <c r="B6" s="51">
        <v>2.9999999999999997E-4</v>
      </c>
      <c r="C6" s="51">
        <v>1.1999999999999999E-3</v>
      </c>
    </row>
    <row r="7" spans="1:3" ht="15.75" thickBot="1" x14ac:dyDescent="0.3">
      <c r="A7" s="31" t="s">
        <v>7</v>
      </c>
      <c r="B7" s="51">
        <v>5.0000000000000001E-4</v>
      </c>
      <c r="C7" s="51">
        <v>1.9E-3</v>
      </c>
    </row>
    <row r="8" spans="1:3" ht="15.75" thickBot="1" x14ac:dyDescent="0.3">
      <c r="A8" s="31" t="s">
        <v>8</v>
      </c>
      <c r="B8" s="51">
        <v>1.1000000000000001E-3</v>
      </c>
      <c r="C8" s="51">
        <v>3.8E-3</v>
      </c>
    </row>
    <row r="9" spans="1:3" ht="30.75" thickBot="1" x14ac:dyDescent="0.3">
      <c r="A9" s="31" t="s">
        <v>135</v>
      </c>
      <c r="B9" s="51">
        <v>6.1000000000000004E-3</v>
      </c>
      <c r="C9" s="51">
        <v>2.2200000000000001E-2</v>
      </c>
    </row>
    <row r="10" spans="1:3" ht="15.75" thickBot="1" x14ac:dyDescent="0.3">
      <c r="A10" s="31" t="s">
        <v>60</v>
      </c>
      <c r="B10" s="51">
        <v>5.0000000000000001E-4</v>
      </c>
      <c r="C10" s="51">
        <v>1.9E-3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>
      <selection activeCell="C4" sqref="C4"/>
    </sheetView>
  </sheetViews>
  <sheetFormatPr defaultColWidth="17.28515625" defaultRowHeight="15" x14ac:dyDescent="0.25"/>
  <cols>
    <col min="1" max="1" width="42.28515625" customWidth="1"/>
  </cols>
  <sheetData>
    <row r="1" spans="1:2" ht="15.75" thickBot="1" x14ac:dyDescent="0.3">
      <c r="A1" s="2" t="s">
        <v>274</v>
      </c>
    </row>
    <row r="2" spans="1:2" ht="33.75" thickBot="1" x14ac:dyDescent="0.3">
      <c r="A2" s="41" t="s">
        <v>136</v>
      </c>
      <c r="B2" s="50" t="s">
        <v>275</v>
      </c>
    </row>
    <row r="3" spans="1:2" ht="15.75" thickBot="1" x14ac:dyDescent="0.3">
      <c r="A3" s="31" t="s">
        <v>276</v>
      </c>
      <c r="B3" s="39">
        <v>0.41499999999999998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>
      <selection activeCell="F13" sqref="F13"/>
    </sheetView>
  </sheetViews>
  <sheetFormatPr defaultRowHeight="15" x14ac:dyDescent="0.25"/>
  <cols>
    <col min="1" max="1" width="35.85546875" style="1" customWidth="1"/>
    <col min="2" max="3" width="23.140625" customWidth="1"/>
  </cols>
  <sheetData>
    <row r="1" spans="1:3" ht="15.75" thickBot="1" x14ac:dyDescent="0.3">
      <c r="A1" s="2" t="s">
        <v>277</v>
      </c>
    </row>
    <row r="2" spans="1:3" ht="33.75" thickBot="1" x14ac:dyDescent="0.3">
      <c r="A2" s="41" t="s">
        <v>137</v>
      </c>
      <c r="B2" s="42" t="s">
        <v>278</v>
      </c>
      <c r="C2" s="42" t="s">
        <v>279</v>
      </c>
    </row>
    <row r="3" spans="1:3" ht="15.75" thickBot="1" x14ac:dyDescent="0.3">
      <c r="A3" s="31" t="s">
        <v>138</v>
      </c>
      <c r="B3" s="33">
        <v>2.1</v>
      </c>
      <c r="C3" s="33">
        <v>0.5</v>
      </c>
    </row>
    <row r="4" spans="1:3" ht="15.75" thickBot="1" x14ac:dyDescent="0.3">
      <c r="A4" s="31" t="s">
        <v>139</v>
      </c>
      <c r="B4" s="33">
        <v>3.3</v>
      </c>
      <c r="C4" s="33">
        <v>0.09</v>
      </c>
    </row>
    <row r="5" spans="1:3" ht="15.75" thickBot="1" x14ac:dyDescent="0.3">
      <c r="A5" s="31" t="s">
        <v>140</v>
      </c>
      <c r="B5" s="33">
        <v>1.6</v>
      </c>
      <c r="C5" s="33">
        <v>0.24</v>
      </c>
    </row>
    <row r="6" spans="1:3" ht="15.75" thickBot="1" x14ac:dyDescent="0.3">
      <c r="A6" s="31" t="s">
        <v>141</v>
      </c>
      <c r="B6" s="33">
        <v>0.7</v>
      </c>
      <c r="C6" s="33">
        <v>0.15</v>
      </c>
    </row>
    <row r="7" spans="1:3" ht="15.75" thickBot="1" x14ac:dyDescent="0.3">
      <c r="A7" s="31" t="s">
        <v>142</v>
      </c>
      <c r="B7" s="33">
        <v>2</v>
      </c>
      <c r="C7" s="33">
        <v>0.14000000000000001</v>
      </c>
    </row>
    <row r="8" spans="1:3" ht="15.75" thickBot="1" x14ac:dyDescent="0.3">
      <c r="A8" s="31" t="s">
        <v>143</v>
      </c>
      <c r="B8" s="33">
        <v>0.4</v>
      </c>
      <c r="C8" s="33">
        <v>0.72</v>
      </c>
    </row>
    <row r="9" spans="1:3" ht="15.75" thickBot="1" x14ac:dyDescent="0.3">
      <c r="A9" s="31" t="s">
        <v>144</v>
      </c>
      <c r="B9" s="33">
        <v>2</v>
      </c>
      <c r="C9" s="33">
        <v>0.39</v>
      </c>
    </row>
    <row r="10" spans="1:3" ht="15.75" thickBot="1" x14ac:dyDescent="0.3">
      <c r="A10" s="31" t="s">
        <v>145</v>
      </c>
      <c r="B10" s="33">
        <v>3.3</v>
      </c>
      <c r="C10" s="33">
        <v>0.14000000000000001</v>
      </c>
    </row>
    <row r="11" spans="1:3" ht="30.75" thickBot="1" x14ac:dyDescent="0.3">
      <c r="A11" s="31" t="s">
        <v>146</v>
      </c>
      <c r="B11" s="33" t="s">
        <v>147</v>
      </c>
      <c r="C11" s="33">
        <v>0.42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>
      <selection activeCell="D2" sqref="D2"/>
    </sheetView>
  </sheetViews>
  <sheetFormatPr defaultRowHeight="15" x14ac:dyDescent="0.25"/>
  <cols>
    <col min="1" max="2" width="37.140625" customWidth="1"/>
  </cols>
  <sheetData>
    <row r="1" spans="1:3" ht="15.75" thickBot="1" x14ac:dyDescent="0.3">
      <c r="A1" s="2" t="s">
        <v>280</v>
      </c>
    </row>
    <row r="2" spans="1:3" ht="78" thickBot="1" x14ac:dyDescent="0.3">
      <c r="A2" s="41" t="s">
        <v>148</v>
      </c>
      <c r="B2" s="42" t="s">
        <v>278</v>
      </c>
      <c r="C2" s="42" t="s">
        <v>279</v>
      </c>
    </row>
    <row r="3" spans="1:3" ht="15.75" thickBot="1" x14ac:dyDescent="0.3">
      <c r="A3" s="31" t="s">
        <v>149</v>
      </c>
      <c r="B3" s="33">
        <v>1.6</v>
      </c>
      <c r="C3" s="33">
        <v>0.36</v>
      </c>
    </row>
    <row r="4" spans="1:3" ht="15.75" thickBot="1" x14ac:dyDescent="0.3">
      <c r="A4" s="31" t="s">
        <v>150</v>
      </c>
      <c r="B4" s="33">
        <v>1.3</v>
      </c>
      <c r="C4" s="33">
        <v>0.33</v>
      </c>
    </row>
    <row r="5" spans="1:3" ht="15.75" thickBot="1" x14ac:dyDescent="0.3">
      <c r="A5" s="31" t="s">
        <v>151</v>
      </c>
      <c r="B5" s="33">
        <v>0.2</v>
      </c>
      <c r="C5" s="33">
        <v>0.39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7"/>
  <sheetViews>
    <sheetView workbookViewId="0">
      <selection activeCell="A2" sqref="A2:B7"/>
    </sheetView>
  </sheetViews>
  <sheetFormatPr defaultRowHeight="15" x14ac:dyDescent="0.25"/>
  <cols>
    <col min="1" max="2" width="38.28515625" customWidth="1"/>
  </cols>
  <sheetData>
    <row r="1" spans="1:2" ht="15.75" thickBot="1" x14ac:dyDescent="0.3">
      <c r="A1" s="2" t="s">
        <v>281</v>
      </c>
    </row>
    <row r="2" spans="1:2" ht="18.75" thickBot="1" x14ac:dyDescent="0.3">
      <c r="A2" s="41" t="s">
        <v>152</v>
      </c>
      <c r="B2" s="42" t="s">
        <v>282</v>
      </c>
    </row>
    <row r="3" spans="1:2" ht="15.75" thickBot="1" x14ac:dyDescent="0.3">
      <c r="A3" s="31" t="s">
        <v>153</v>
      </c>
      <c r="B3" s="33" t="s">
        <v>147</v>
      </c>
    </row>
    <row r="4" spans="1:2" ht="15.75" thickBot="1" x14ac:dyDescent="0.3">
      <c r="A4" s="31" t="s">
        <v>154</v>
      </c>
      <c r="B4" s="33">
        <v>0.1229</v>
      </c>
    </row>
    <row r="5" spans="1:2" ht="15.75" thickBot="1" x14ac:dyDescent="0.3">
      <c r="A5" s="31" t="s">
        <v>155</v>
      </c>
      <c r="B5" s="33">
        <v>0.3276</v>
      </c>
    </row>
    <row r="6" spans="1:2" ht="15.75" thickBot="1" x14ac:dyDescent="0.3">
      <c r="A6" s="31" t="s">
        <v>156</v>
      </c>
      <c r="B6" s="33">
        <v>8.1900000000000001E-2</v>
      </c>
    </row>
    <row r="7" spans="1:2" ht="15.75" thickBot="1" x14ac:dyDescent="0.3">
      <c r="A7" s="31" t="s">
        <v>157</v>
      </c>
      <c r="B7" s="33">
        <v>0.3276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>
      <selection activeCell="A13" sqref="A13"/>
    </sheetView>
  </sheetViews>
  <sheetFormatPr defaultRowHeight="15" x14ac:dyDescent="0.25"/>
  <cols>
    <col min="1" max="2" width="43.42578125" customWidth="1"/>
  </cols>
  <sheetData>
    <row r="1" spans="1:2" ht="15.75" thickBot="1" x14ac:dyDescent="0.3">
      <c r="A1" s="2" t="s">
        <v>283</v>
      </c>
    </row>
    <row r="2" spans="1:2" ht="18.75" thickBot="1" x14ac:dyDescent="0.3">
      <c r="A2" s="41" t="s">
        <v>158</v>
      </c>
      <c r="B2" s="42" t="s">
        <v>284</v>
      </c>
    </row>
    <row r="3" spans="1:2" ht="15.75" thickBot="1" x14ac:dyDescent="0.3">
      <c r="A3" s="32" t="s">
        <v>159</v>
      </c>
      <c r="B3" s="34">
        <v>0.879</v>
      </c>
    </row>
    <row r="4" spans="1:2" ht="15.75" thickBot="1" x14ac:dyDescent="0.3">
      <c r="A4" s="32" t="s">
        <v>160</v>
      </c>
      <c r="B4" s="34" t="s">
        <v>147</v>
      </c>
    </row>
    <row r="5" spans="1:2" ht="15.75" thickBot="1" x14ac:dyDescent="0.3">
      <c r="A5" s="32" t="s">
        <v>161</v>
      </c>
      <c r="B5" s="34">
        <v>2.931</v>
      </c>
    </row>
    <row r="6" spans="1:2" ht="15.75" thickBot="1" x14ac:dyDescent="0.3">
      <c r="A6" s="32" t="s">
        <v>162</v>
      </c>
      <c r="B6" s="34">
        <v>1.649</v>
      </c>
    </row>
    <row r="7" spans="1:2" ht="15.75" thickBot="1" x14ac:dyDescent="0.3">
      <c r="A7" s="32" t="s">
        <v>163</v>
      </c>
      <c r="B7" s="33">
        <v>5.3699999999999998E-2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6D3F-7FB6-42A9-93AF-B0E146151FF8}">
  <dimension ref="A1:B4"/>
  <sheetViews>
    <sheetView workbookViewId="0">
      <selection activeCell="D7" sqref="D7"/>
    </sheetView>
  </sheetViews>
  <sheetFormatPr defaultRowHeight="15" x14ac:dyDescent="0.25"/>
  <cols>
    <col min="1" max="1" width="22.5703125" customWidth="1"/>
    <col min="2" max="2" width="22" customWidth="1"/>
  </cols>
  <sheetData>
    <row r="1" spans="1:2" ht="15.75" thickBot="1" x14ac:dyDescent="0.3">
      <c r="A1" s="2" t="s">
        <v>285</v>
      </c>
    </row>
    <row r="2" spans="1:2" ht="33.75" thickBot="1" x14ac:dyDescent="0.3">
      <c r="A2" s="41" t="s">
        <v>286</v>
      </c>
      <c r="B2" s="42" t="s">
        <v>287</v>
      </c>
    </row>
    <row r="3" spans="1:2" ht="15.75" thickBot="1" x14ac:dyDescent="0.3">
      <c r="A3" s="31" t="s">
        <v>288</v>
      </c>
      <c r="B3" s="33">
        <v>4.5999999999999999E-2</v>
      </c>
    </row>
    <row r="4" spans="1:2" ht="15.75" thickBot="1" x14ac:dyDescent="0.3">
      <c r="A4" s="31" t="s">
        <v>289</v>
      </c>
      <c r="B4" s="33">
        <v>2.8000000000000001E-2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A8E9-C487-4E84-8CCC-353A0E72CFF8}">
  <dimension ref="A1:B12"/>
  <sheetViews>
    <sheetView workbookViewId="0">
      <selection activeCell="D2" sqref="D2"/>
    </sheetView>
  </sheetViews>
  <sheetFormatPr defaultRowHeight="15" x14ac:dyDescent="0.25"/>
  <cols>
    <col min="1" max="1" width="40.28515625" customWidth="1"/>
    <col min="2" max="2" width="25.28515625" customWidth="1"/>
  </cols>
  <sheetData>
    <row r="1" spans="1:2" ht="15.75" thickBot="1" x14ac:dyDescent="0.3">
      <c r="A1" s="2" t="s">
        <v>290</v>
      </c>
    </row>
    <row r="2" spans="1:2" ht="48.75" thickBot="1" x14ac:dyDescent="0.3">
      <c r="A2" s="41" t="s">
        <v>2</v>
      </c>
      <c r="B2" s="42" t="s">
        <v>291</v>
      </c>
    </row>
    <row r="3" spans="1:2" ht="30.75" thickBot="1" x14ac:dyDescent="0.3">
      <c r="A3" s="32" t="s">
        <v>4</v>
      </c>
      <c r="B3" s="34">
        <v>0.02</v>
      </c>
    </row>
    <row r="4" spans="1:2" ht="15.75" thickBot="1" x14ac:dyDescent="0.3">
      <c r="A4" s="32" t="s">
        <v>5</v>
      </c>
      <c r="B4" s="34">
        <v>0.08</v>
      </c>
    </row>
    <row r="5" spans="1:2" ht="15.75" thickBot="1" x14ac:dyDescent="0.3">
      <c r="A5" s="32" t="s">
        <v>6</v>
      </c>
      <c r="B5" s="34">
        <v>0.06</v>
      </c>
    </row>
    <row r="6" spans="1:2" ht="15.75" thickBot="1" x14ac:dyDescent="0.3">
      <c r="A6" s="32" t="s">
        <v>7</v>
      </c>
      <c r="B6" s="34">
        <v>0.02</v>
      </c>
    </row>
    <row r="7" spans="1:2" x14ac:dyDescent="0.25">
      <c r="A7" s="35" t="s">
        <v>219</v>
      </c>
      <c r="B7" s="66">
        <v>0.04</v>
      </c>
    </row>
    <row r="8" spans="1:2" ht="15.75" thickBot="1" x14ac:dyDescent="0.3">
      <c r="A8" s="31" t="s">
        <v>292</v>
      </c>
      <c r="B8" s="67"/>
    </row>
    <row r="9" spans="1:2" ht="15.75" thickBot="1" x14ac:dyDescent="0.3">
      <c r="A9" s="32" t="s">
        <v>8</v>
      </c>
      <c r="B9" s="34">
        <v>0.02</v>
      </c>
    </row>
    <row r="10" spans="1:2" x14ac:dyDescent="0.25">
      <c r="A10" s="36" t="s">
        <v>221</v>
      </c>
      <c r="B10" s="66">
        <v>0.03</v>
      </c>
    </row>
    <row r="11" spans="1:2" ht="30.75" thickBot="1" x14ac:dyDescent="0.3">
      <c r="A11" s="31" t="s">
        <v>222</v>
      </c>
      <c r="B11" s="67"/>
    </row>
    <row r="12" spans="1:2" ht="30.75" thickBot="1" x14ac:dyDescent="0.3">
      <c r="A12" s="31" t="s">
        <v>293</v>
      </c>
      <c r="B12" s="34">
        <v>0.05</v>
      </c>
    </row>
  </sheetData>
  <mergeCells count="2">
    <mergeCell ref="B7:B8"/>
    <mergeCell ref="B10:B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3BFB-FAF2-4E56-A5E3-66BDADF3FD61}">
  <dimension ref="A1:E9"/>
  <sheetViews>
    <sheetView workbookViewId="0">
      <selection activeCell="F2" sqref="F2"/>
    </sheetView>
  </sheetViews>
  <sheetFormatPr defaultRowHeight="15" x14ac:dyDescent="0.25"/>
  <cols>
    <col min="1" max="1" width="35.42578125" customWidth="1"/>
    <col min="2" max="5" width="19.7109375" customWidth="1"/>
  </cols>
  <sheetData>
    <row r="1" spans="1:5" ht="15.75" thickBot="1" x14ac:dyDescent="0.3">
      <c r="A1" s="2" t="s">
        <v>294</v>
      </c>
    </row>
    <row r="2" spans="1:5" ht="45" x14ac:dyDescent="0.25">
      <c r="A2" s="73" t="s">
        <v>152</v>
      </c>
      <c r="B2" s="76" t="s">
        <v>295</v>
      </c>
      <c r="C2" s="29" t="s">
        <v>296</v>
      </c>
      <c r="D2" s="29" t="s">
        <v>299</v>
      </c>
      <c r="E2" s="29" t="s">
        <v>63</v>
      </c>
    </row>
    <row r="3" spans="1:5" ht="18" x14ac:dyDescent="0.25">
      <c r="A3" s="74"/>
      <c r="B3" s="77"/>
      <c r="C3" s="53" t="s">
        <v>297</v>
      </c>
      <c r="D3" s="53" t="s">
        <v>300</v>
      </c>
      <c r="E3" s="37" t="s">
        <v>302</v>
      </c>
    </row>
    <row r="4" spans="1:5" ht="15.75" thickBot="1" x14ac:dyDescent="0.3">
      <c r="A4" s="75"/>
      <c r="B4" s="78"/>
      <c r="C4" s="54" t="s">
        <v>298</v>
      </c>
      <c r="D4" s="54" t="s">
        <v>301</v>
      </c>
      <c r="E4" s="30" t="s">
        <v>303</v>
      </c>
    </row>
    <row r="5" spans="1:5" ht="15.75" thickBot="1" x14ac:dyDescent="0.3">
      <c r="A5" s="56" t="s">
        <v>304</v>
      </c>
      <c r="B5" s="57">
        <v>0</v>
      </c>
      <c r="C5" s="57">
        <v>5.8500000000000003E-2</v>
      </c>
      <c r="D5" s="57">
        <v>7</v>
      </c>
      <c r="E5" s="61" t="s">
        <v>147</v>
      </c>
    </row>
    <row r="6" spans="1:5" ht="15.75" thickBot="1" x14ac:dyDescent="0.3">
      <c r="A6" s="56" t="s">
        <v>305</v>
      </c>
      <c r="B6" s="57">
        <v>0.3</v>
      </c>
      <c r="C6" s="57">
        <v>5.8500000000000003E-2</v>
      </c>
      <c r="D6" s="57">
        <v>7</v>
      </c>
      <c r="E6" s="51">
        <v>0.1229</v>
      </c>
    </row>
    <row r="7" spans="1:5" ht="15.75" thickBot="1" x14ac:dyDescent="0.3">
      <c r="A7" s="56" t="s">
        <v>306</v>
      </c>
      <c r="B7" s="57">
        <v>0.8</v>
      </c>
      <c r="C7" s="57">
        <v>5.8500000000000003E-2</v>
      </c>
      <c r="D7" s="57">
        <v>7</v>
      </c>
      <c r="E7" s="51">
        <v>0.3276</v>
      </c>
    </row>
    <row r="8" spans="1:5" ht="15.75" thickBot="1" x14ac:dyDescent="0.3">
      <c r="A8" s="56" t="s">
        <v>307</v>
      </c>
      <c r="B8" s="57">
        <v>0.2</v>
      </c>
      <c r="C8" s="57">
        <v>5.8500000000000003E-2</v>
      </c>
      <c r="D8" s="57">
        <v>7</v>
      </c>
      <c r="E8" s="51">
        <v>8.1900000000000001E-2</v>
      </c>
    </row>
    <row r="9" spans="1:5" ht="15.75" thickBot="1" x14ac:dyDescent="0.3">
      <c r="A9" s="56" t="s">
        <v>308</v>
      </c>
      <c r="B9" s="57">
        <v>0.8</v>
      </c>
      <c r="C9" s="57">
        <v>5.8500000000000003E-2</v>
      </c>
      <c r="D9" s="57">
        <v>7</v>
      </c>
      <c r="E9" s="51">
        <v>0.3276</v>
      </c>
    </row>
  </sheetData>
  <mergeCells count="2">
    <mergeCell ref="A2:A4"/>
    <mergeCell ref="B2:B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D995-B209-4D05-B2B0-C3C34682F445}">
  <dimension ref="A1:G7"/>
  <sheetViews>
    <sheetView workbookViewId="0">
      <selection activeCell="G11" sqref="G11"/>
    </sheetView>
  </sheetViews>
  <sheetFormatPr defaultRowHeight="15" x14ac:dyDescent="0.25"/>
  <cols>
    <col min="1" max="1" width="24" customWidth="1"/>
  </cols>
  <sheetData>
    <row r="1" spans="1:7" ht="15.75" thickBot="1" x14ac:dyDescent="0.3">
      <c r="A1" s="2" t="s">
        <v>309</v>
      </c>
    </row>
    <row r="2" spans="1:7" ht="48" x14ac:dyDescent="0.25">
      <c r="A2" s="68" t="s">
        <v>310</v>
      </c>
      <c r="B2" s="29" t="s">
        <v>311</v>
      </c>
      <c r="C2" s="29" t="s">
        <v>313</v>
      </c>
      <c r="D2" s="29" t="s">
        <v>315</v>
      </c>
      <c r="E2" s="76" t="s">
        <v>317</v>
      </c>
      <c r="F2" s="29" t="s">
        <v>318</v>
      </c>
    </row>
    <row r="3" spans="1:7" ht="15.75" thickBot="1" x14ac:dyDescent="0.3">
      <c r="A3" s="69"/>
      <c r="B3" s="30" t="s">
        <v>312</v>
      </c>
      <c r="C3" s="30" t="s">
        <v>314</v>
      </c>
      <c r="D3" s="30" t="s">
        <v>316</v>
      </c>
      <c r="E3" s="78"/>
      <c r="F3" s="30" t="s">
        <v>303</v>
      </c>
    </row>
    <row r="4" spans="1:7" ht="15.75" thickBot="1" x14ac:dyDescent="0.3">
      <c r="A4" s="56" t="s">
        <v>159</v>
      </c>
      <c r="B4" s="57">
        <v>0.6</v>
      </c>
      <c r="C4" s="57">
        <v>0.4</v>
      </c>
      <c r="D4" s="57">
        <v>1</v>
      </c>
      <c r="E4" s="57">
        <v>3.6669999999999998</v>
      </c>
      <c r="F4" s="51">
        <v>0.88</v>
      </c>
      <c r="G4" s="62"/>
    </row>
    <row r="5" spans="1:7" ht="15.75" thickBot="1" x14ac:dyDescent="0.3">
      <c r="A5" s="56" t="s">
        <v>160</v>
      </c>
      <c r="B5" s="57">
        <v>0.5</v>
      </c>
      <c r="C5" s="59" t="s">
        <v>147</v>
      </c>
      <c r="D5" s="57">
        <v>1</v>
      </c>
      <c r="E5" s="57">
        <v>3.6669999999999998</v>
      </c>
      <c r="F5" s="61" t="s">
        <v>147</v>
      </c>
      <c r="G5" s="62"/>
    </row>
    <row r="6" spans="1:7" ht="15.75" thickBot="1" x14ac:dyDescent="0.3">
      <c r="A6" s="56" t="s">
        <v>161</v>
      </c>
      <c r="B6" s="57">
        <v>0.8</v>
      </c>
      <c r="C6" s="57">
        <v>1</v>
      </c>
      <c r="D6" s="57">
        <v>1</v>
      </c>
      <c r="E6" s="57">
        <v>3.6669999999999998</v>
      </c>
      <c r="F6" s="51">
        <v>2.93</v>
      </c>
      <c r="G6" s="62"/>
    </row>
    <row r="7" spans="1:7" ht="15.75" thickBot="1" x14ac:dyDescent="0.3">
      <c r="A7" s="56" t="s">
        <v>162</v>
      </c>
      <c r="B7" s="57">
        <v>0.5</v>
      </c>
      <c r="C7" s="57">
        <v>0.9</v>
      </c>
      <c r="D7" s="57">
        <v>1</v>
      </c>
      <c r="E7" s="57">
        <v>3.6669999999999998</v>
      </c>
      <c r="F7" s="51">
        <v>1.65</v>
      </c>
      <c r="G7" s="62"/>
    </row>
  </sheetData>
  <mergeCells count="2">
    <mergeCell ref="A2:A3"/>
    <mergeCell ref="E2:E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D094-6590-41E7-B3C6-C8F3F6549AAB}">
  <dimension ref="A1:H12"/>
  <sheetViews>
    <sheetView workbookViewId="0">
      <selection activeCell="F4" sqref="F4"/>
    </sheetView>
  </sheetViews>
  <sheetFormatPr defaultRowHeight="15" x14ac:dyDescent="0.25"/>
  <cols>
    <col min="1" max="1" width="26" customWidth="1"/>
    <col min="2" max="7" width="14.7109375" customWidth="1"/>
  </cols>
  <sheetData>
    <row r="1" spans="1:8" ht="15.75" thickBot="1" x14ac:dyDescent="0.3">
      <c r="A1" s="2" t="s">
        <v>319</v>
      </c>
    </row>
    <row r="2" spans="1:8" ht="48" x14ac:dyDescent="0.25">
      <c r="A2" s="68" t="s">
        <v>320</v>
      </c>
      <c r="B2" s="29" t="s">
        <v>321</v>
      </c>
      <c r="C2" s="29" t="s">
        <v>311</v>
      </c>
      <c r="D2" s="29" t="s">
        <v>313</v>
      </c>
      <c r="E2" s="29" t="s">
        <v>315</v>
      </c>
      <c r="F2" s="76" t="s">
        <v>339</v>
      </c>
      <c r="G2" s="29" t="s">
        <v>323</v>
      </c>
    </row>
    <row r="3" spans="1:8" ht="15.75" thickBot="1" x14ac:dyDescent="0.3">
      <c r="A3" s="69"/>
      <c r="B3" s="30" t="s">
        <v>322</v>
      </c>
      <c r="C3" s="30" t="s">
        <v>312</v>
      </c>
      <c r="D3" s="30" t="s">
        <v>314</v>
      </c>
      <c r="E3" s="30" t="s">
        <v>316</v>
      </c>
      <c r="F3" s="78"/>
      <c r="G3" s="30" t="s">
        <v>303</v>
      </c>
    </row>
    <row r="4" spans="1:8" ht="15.75" thickBot="1" x14ac:dyDescent="0.3">
      <c r="A4" s="31" t="s">
        <v>138</v>
      </c>
      <c r="B4" s="58">
        <v>0.35</v>
      </c>
      <c r="C4" s="60">
        <v>0.38</v>
      </c>
      <c r="D4" s="60">
        <v>0</v>
      </c>
      <c r="E4" s="59">
        <v>1</v>
      </c>
      <c r="F4" s="59">
        <v>3.6669999999999998</v>
      </c>
      <c r="G4" s="59" t="s">
        <v>324</v>
      </c>
      <c r="H4" s="63"/>
    </row>
    <row r="5" spans="1:8" ht="15.75" thickBot="1" x14ac:dyDescent="0.3">
      <c r="A5" s="31" t="s">
        <v>325</v>
      </c>
      <c r="B5" s="58">
        <v>0.13</v>
      </c>
      <c r="C5" s="60">
        <v>0.46</v>
      </c>
      <c r="D5" s="60">
        <v>0.01</v>
      </c>
      <c r="E5" s="59">
        <v>1</v>
      </c>
      <c r="F5" s="59">
        <v>3.6669999999999998</v>
      </c>
      <c r="G5" s="59">
        <v>2.2000000000000001E-3</v>
      </c>
      <c r="H5" s="63"/>
    </row>
    <row r="6" spans="1:8" ht="15.75" thickBot="1" x14ac:dyDescent="0.3">
      <c r="A6" s="31" t="s">
        <v>326</v>
      </c>
      <c r="B6" s="58">
        <v>0.16500000000000001</v>
      </c>
      <c r="C6" s="60">
        <v>0.49</v>
      </c>
      <c r="D6" s="60">
        <v>0</v>
      </c>
      <c r="E6" s="59">
        <v>1</v>
      </c>
      <c r="F6" s="59">
        <v>3.6669999999999998</v>
      </c>
      <c r="G6" s="59" t="s">
        <v>327</v>
      </c>
      <c r="H6" s="63"/>
    </row>
    <row r="7" spans="1:8" ht="15.75" thickBot="1" x14ac:dyDescent="0.3">
      <c r="A7" s="31" t="s">
        <v>328</v>
      </c>
      <c r="B7" s="58">
        <v>0.01</v>
      </c>
      <c r="C7" s="60">
        <v>0.5</v>
      </c>
      <c r="D7" s="60">
        <v>0</v>
      </c>
      <c r="E7" s="59">
        <v>1</v>
      </c>
      <c r="F7" s="59">
        <v>3.6669999999999998</v>
      </c>
      <c r="G7" s="59" t="s">
        <v>327</v>
      </c>
      <c r="H7" s="63"/>
    </row>
    <row r="8" spans="1:8" ht="15.75" thickBot="1" x14ac:dyDescent="0.3">
      <c r="A8" s="31" t="s">
        <v>142</v>
      </c>
      <c r="B8" s="58">
        <v>1.4999999999999999E-2</v>
      </c>
      <c r="C8" s="60">
        <v>0.5</v>
      </c>
      <c r="D8" s="60">
        <v>0.2</v>
      </c>
      <c r="E8" s="59">
        <v>1</v>
      </c>
      <c r="F8" s="59">
        <v>3.6669999999999998</v>
      </c>
      <c r="G8" s="59">
        <v>5.4999999999999997E-3</v>
      </c>
      <c r="H8" s="63"/>
    </row>
    <row r="9" spans="1:8" ht="15.75" thickBot="1" x14ac:dyDescent="0.3">
      <c r="A9" s="31" t="s">
        <v>143</v>
      </c>
      <c r="B9" s="58">
        <v>0</v>
      </c>
      <c r="C9" s="60">
        <v>0.5</v>
      </c>
      <c r="D9" s="60">
        <v>0</v>
      </c>
      <c r="E9" s="59">
        <v>1</v>
      </c>
      <c r="F9" s="59">
        <v>3.6669999999999998</v>
      </c>
      <c r="G9" s="59" t="s">
        <v>327</v>
      </c>
      <c r="H9" s="63"/>
    </row>
    <row r="10" spans="1:8" ht="15.75" thickBot="1" x14ac:dyDescent="0.3">
      <c r="A10" s="31" t="s">
        <v>144</v>
      </c>
      <c r="B10" s="58">
        <v>0.04</v>
      </c>
      <c r="C10" s="60">
        <v>0.7</v>
      </c>
      <c r="D10" s="60">
        <v>0.1</v>
      </c>
      <c r="E10" s="59">
        <v>1</v>
      </c>
      <c r="F10" s="59">
        <v>3.6669999999999998</v>
      </c>
      <c r="G10" s="59">
        <v>1.03E-2</v>
      </c>
      <c r="H10" s="63"/>
    </row>
    <row r="11" spans="1:8" ht="15.75" thickBot="1" x14ac:dyDescent="0.3">
      <c r="A11" s="31" t="s">
        <v>329</v>
      </c>
      <c r="B11" s="58">
        <v>0.01</v>
      </c>
      <c r="C11" s="60">
        <v>0.67</v>
      </c>
      <c r="D11" s="60">
        <v>0.2</v>
      </c>
      <c r="E11" s="59">
        <v>1</v>
      </c>
      <c r="F11" s="59">
        <v>3.6669999999999998</v>
      </c>
      <c r="G11" s="59">
        <v>4.8999999999999998E-3</v>
      </c>
      <c r="H11" s="63"/>
    </row>
    <row r="12" spans="1:8" ht="15.75" thickBot="1" x14ac:dyDescent="0.3">
      <c r="A12" s="31" t="s">
        <v>330</v>
      </c>
      <c r="B12" s="58">
        <v>0.28000000000000003</v>
      </c>
      <c r="C12" s="60">
        <v>0.03</v>
      </c>
      <c r="D12" s="60">
        <v>1</v>
      </c>
      <c r="E12" s="59">
        <v>1</v>
      </c>
      <c r="F12" s="59">
        <v>3.6669999999999998</v>
      </c>
      <c r="G12" s="59">
        <v>3.0800000000000001E-2</v>
      </c>
      <c r="H12" s="63"/>
    </row>
  </sheetData>
  <mergeCells count="2">
    <mergeCell ref="A2:A3"/>
    <mergeCell ref="F2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9C76-66E3-4C77-9E4F-05DF8C9ABDC9}">
  <dimension ref="A1:D5"/>
  <sheetViews>
    <sheetView workbookViewId="0">
      <selection activeCell="D13" sqref="D13"/>
    </sheetView>
  </sheetViews>
  <sheetFormatPr defaultRowHeight="15" x14ac:dyDescent="0.25"/>
  <cols>
    <col min="1" max="1" width="25.42578125" customWidth="1"/>
  </cols>
  <sheetData>
    <row r="1" spans="1:4" ht="15.75" thickBot="1" x14ac:dyDescent="0.3">
      <c r="A1" s="2" t="s">
        <v>331</v>
      </c>
    </row>
    <row r="2" spans="1:4" ht="48" x14ac:dyDescent="0.25">
      <c r="A2" s="68" t="s">
        <v>332</v>
      </c>
      <c r="B2" s="29" t="s">
        <v>333</v>
      </c>
      <c r="C2" s="29" t="s">
        <v>335</v>
      </c>
      <c r="D2" s="29" t="s">
        <v>336</v>
      </c>
    </row>
    <row r="3" spans="1:4" ht="18.75" thickBot="1" x14ac:dyDescent="0.3">
      <c r="A3" s="69"/>
      <c r="B3" s="30" t="s">
        <v>334</v>
      </c>
      <c r="C3" s="30" t="s">
        <v>334</v>
      </c>
      <c r="D3" s="30" t="s">
        <v>334</v>
      </c>
    </row>
    <row r="4" spans="1:4" ht="15.75" thickBot="1" x14ac:dyDescent="0.3">
      <c r="A4" s="55" t="s">
        <v>337</v>
      </c>
      <c r="B4" s="57">
        <v>2.1000000000000001E-2</v>
      </c>
      <c r="C4" s="57">
        <v>2.5000000000000001E-2</v>
      </c>
      <c r="D4" s="57">
        <v>4.5999999999999999E-2</v>
      </c>
    </row>
    <row r="5" spans="1:4" ht="15.75" thickBot="1" x14ac:dyDescent="0.3">
      <c r="A5" s="55" t="s">
        <v>338</v>
      </c>
      <c r="B5" s="57">
        <v>2.8000000000000001E-2</v>
      </c>
      <c r="C5" s="57">
        <v>0</v>
      </c>
      <c r="D5" s="57">
        <v>2.8000000000000001E-2</v>
      </c>
    </row>
  </sheetData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1"/>
  <sheetViews>
    <sheetView workbookViewId="0">
      <selection activeCell="L1" sqref="L1"/>
    </sheetView>
  </sheetViews>
  <sheetFormatPr defaultColWidth="9.140625" defaultRowHeight="15" x14ac:dyDescent="0.25"/>
  <cols>
    <col min="1" max="1" width="11.28515625" style="4" bestFit="1" customWidth="1"/>
    <col min="2" max="2" width="47.140625" style="4" customWidth="1"/>
    <col min="3" max="3" width="6.140625" style="4" bestFit="1" customWidth="1"/>
    <col min="4" max="5" width="6" style="4" bestFit="1" customWidth="1"/>
    <col min="6" max="6" width="19.140625" style="4" bestFit="1" customWidth="1"/>
    <col min="7" max="7" width="10.85546875" style="4" customWidth="1"/>
    <col min="8" max="8" width="6.7109375" style="4" bestFit="1" customWidth="1"/>
    <col min="9" max="9" width="8" style="4" bestFit="1" customWidth="1"/>
    <col min="10" max="10" width="9.85546875" style="4" bestFit="1" customWidth="1"/>
    <col min="11" max="11" width="8.5703125" style="4" bestFit="1" customWidth="1"/>
    <col min="12" max="12" width="95" style="4" bestFit="1" customWidth="1"/>
    <col min="13" max="16384" width="9.140625" style="3"/>
  </cols>
  <sheetData>
    <row r="1" spans="1:12" s="12" customFormat="1" x14ac:dyDescent="0.25">
      <c r="A1" s="13"/>
      <c r="B1" s="13"/>
      <c r="C1" s="79" t="s">
        <v>63</v>
      </c>
      <c r="D1" s="79"/>
      <c r="E1" s="79"/>
      <c r="F1" s="79"/>
      <c r="G1" s="80" t="s">
        <v>38</v>
      </c>
      <c r="H1" s="81"/>
      <c r="I1" s="82" t="s">
        <v>63</v>
      </c>
      <c r="J1" s="82"/>
      <c r="K1" s="13"/>
      <c r="L1" s="13"/>
    </row>
    <row r="2" spans="1:12" s="12" customFormat="1" x14ac:dyDescent="0.25">
      <c r="A2" s="13"/>
      <c r="B2" s="13"/>
      <c r="C2" s="79" t="s">
        <v>164</v>
      </c>
      <c r="D2" s="79"/>
      <c r="E2" s="79"/>
      <c r="F2" s="79"/>
      <c r="G2" s="80" t="s">
        <v>165</v>
      </c>
      <c r="H2" s="81"/>
      <c r="I2" s="82" t="s">
        <v>166</v>
      </c>
      <c r="J2" s="82"/>
      <c r="K2" s="13"/>
      <c r="L2" s="13"/>
    </row>
    <row r="3" spans="1:12" s="12" customFormat="1" x14ac:dyDescent="0.25">
      <c r="A3" s="13"/>
      <c r="B3" s="13"/>
      <c r="C3" s="79" t="s">
        <v>167</v>
      </c>
      <c r="D3" s="79"/>
      <c r="E3" s="79"/>
      <c r="F3" s="79"/>
      <c r="G3" s="80" t="s">
        <v>168</v>
      </c>
      <c r="H3" s="81"/>
      <c r="I3" s="82" t="s">
        <v>167</v>
      </c>
      <c r="J3" s="82"/>
      <c r="K3" s="13"/>
      <c r="L3" s="13"/>
    </row>
    <row r="4" spans="1:12" x14ac:dyDescent="0.25">
      <c r="A4" s="8" t="s">
        <v>169</v>
      </c>
      <c r="B4" s="8" t="s">
        <v>170</v>
      </c>
      <c r="C4" s="9" t="s">
        <v>171</v>
      </c>
      <c r="D4" s="9" t="s">
        <v>172</v>
      </c>
      <c r="E4" s="9" t="s">
        <v>173</v>
      </c>
      <c r="F4" s="11" t="s">
        <v>174</v>
      </c>
      <c r="G4" s="10" t="s">
        <v>175</v>
      </c>
      <c r="H4" s="8" t="s">
        <v>176</v>
      </c>
      <c r="I4" s="9" t="s">
        <v>177</v>
      </c>
      <c r="J4" s="8" t="s">
        <v>176</v>
      </c>
      <c r="K4" s="8" t="s">
        <v>178</v>
      </c>
      <c r="L4" s="8" t="s">
        <v>136</v>
      </c>
    </row>
    <row r="5" spans="1:12" x14ac:dyDescent="0.25">
      <c r="A5" s="7" t="s">
        <v>179</v>
      </c>
      <c r="B5" s="4" t="s">
        <v>32</v>
      </c>
      <c r="C5" s="4">
        <v>0</v>
      </c>
      <c r="D5" s="4">
        <v>0.08</v>
      </c>
      <c r="E5" s="4">
        <v>0.5</v>
      </c>
      <c r="F5" s="6">
        <v>0.57999999999999996</v>
      </c>
      <c r="G5" s="4">
        <v>12.4</v>
      </c>
      <c r="H5" s="4" t="s">
        <v>15</v>
      </c>
      <c r="I5" s="4">
        <f t="shared" ref="I5:I36" si="0">G5*F5</f>
        <v>7.1919999999999993</v>
      </c>
      <c r="J5" s="4" t="s">
        <v>180</v>
      </c>
      <c r="K5" s="4">
        <v>1</v>
      </c>
      <c r="L5" s="5" t="s">
        <v>229</v>
      </c>
    </row>
    <row r="6" spans="1:12" x14ac:dyDescent="0.25">
      <c r="A6" s="7" t="s">
        <v>179</v>
      </c>
      <c r="B6" s="4" t="s">
        <v>30</v>
      </c>
      <c r="C6" s="4">
        <v>0</v>
      </c>
      <c r="D6" s="4">
        <v>0.1</v>
      </c>
      <c r="E6" s="4">
        <v>1.1000000000000001</v>
      </c>
      <c r="F6" s="6">
        <v>1.2</v>
      </c>
      <c r="G6" s="4">
        <v>16.2</v>
      </c>
      <c r="H6" s="4" t="s">
        <v>15</v>
      </c>
      <c r="I6" s="4">
        <f t="shared" si="0"/>
        <v>19.439999999999998</v>
      </c>
      <c r="J6" s="4" t="s">
        <v>180</v>
      </c>
      <c r="K6" s="4">
        <v>1</v>
      </c>
      <c r="L6" s="5" t="s">
        <v>229</v>
      </c>
    </row>
    <row r="7" spans="1:12" x14ac:dyDescent="0.25">
      <c r="A7" s="7" t="s">
        <v>179</v>
      </c>
      <c r="B7" s="4" t="s">
        <v>31</v>
      </c>
      <c r="C7" s="4">
        <v>0</v>
      </c>
      <c r="D7" s="4">
        <v>0.1</v>
      </c>
      <c r="E7" s="4">
        <v>1.1000000000000001</v>
      </c>
      <c r="F7" s="6">
        <v>1.2</v>
      </c>
      <c r="G7" s="4">
        <v>10.4</v>
      </c>
      <c r="H7" s="4" t="s">
        <v>15</v>
      </c>
      <c r="I7" s="4">
        <f t="shared" si="0"/>
        <v>12.48</v>
      </c>
      <c r="J7" s="4" t="s">
        <v>180</v>
      </c>
      <c r="K7" s="4">
        <v>1</v>
      </c>
      <c r="L7" s="5" t="s">
        <v>229</v>
      </c>
    </row>
    <row r="8" spans="1:12" x14ac:dyDescent="0.25">
      <c r="A8" s="7" t="s">
        <v>179</v>
      </c>
      <c r="B8" s="4" t="s">
        <v>33</v>
      </c>
      <c r="C8" s="4">
        <v>0</v>
      </c>
      <c r="D8" s="4">
        <v>0.3</v>
      </c>
      <c r="E8" s="4">
        <v>1.1000000000000001</v>
      </c>
      <c r="F8" s="6">
        <v>1.4</v>
      </c>
      <c r="G8" s="4">
        <v>9.6</v>
      </c>
      <c r="H8" s="4" t="s">
        <v>15</v>
      </c>
      <c r="I8" s="4">
        <f t="shared" si="0"/>
        <v>13.44</v>
      </c>
      <c r="J8" s="4" t="s">
        <v>180</v>
      </c>
      <c r="K8" s="4">
        <v>1</v>
      </c>
      <c r="L8" s="5" t="s">
        <v>229</v>
      </c>
    </row>
    <row r="9" spans="1:12" x14ac:dyDescent="0.25">
      <c r="A9" s="7" t="s">
        <v>179</v>
      </c>
      <c r="B9" s="4" t="s">
        <v>34</v>
      </c>
      <c r="C9" s="4">
        <v>0</v>
      </c>
      <c r="D9" s="4">
        <v>0.8</v>
      </c>
      <c r="E9" s="4">
        <v>1</v>
      </c>
      <c r="F9" s="6">
        <v>1.8</v>
      </c>
      <c r="G9" s="4">
        <v>12.2</v>
      </c>
      <c r="H9" s="4" t="s">
        <v>15</v>
      </c>
      <c r="I9" s="4">
        <f t="shared" si="0"/>
        <v>21.96</v>
      </c>
      <c r="J9" s="4" t="s">
        <v>180</v>
      </c>
      <c r="K9" s="4">
        <v>1</v>
      </c>
      <c r="L9" s="5" t="s">
        <v>229</v>
      </c>
    </row>
    <row r="10" spans="1:12" x14ac:dyDescent="0.25">
      <c r="A10" s="7" t="s">
        <v>179</v>
      </c>
      <c r="B10" s="4" t="s">
        <v>36</v>
      </c>
      <c r="C10" s="4">
        <v>0</v>
      </c>
      <c r="D10" s="4">
        <v>0.8</v>
      </c>
      <c r="E10" s="4">
        <v>1</v>
      </c>
      <c r="F10" s="6">
        <v>1.8</v>
      </c>
      <c r="G10" s="4">
        <v>12.2</v>
      </c>
      <c r="H10" s="4" t="s">
        <v>15</v>
      </c>
      <c r="I10" s="4">
        <f t="shared" si="0"/>
        <v>21.96</v>
      </c>
      <c r="J10" s="4" t="s">
        <v>180</v>
      </c>
      <c r="K10" s="4">
        <v>1</v>
      </c>
      <c r="L10" s="5" t="s">
        <v>229</v>
      </c>
    </row>
    <row r="11" spans="1:12" x14ac:dyDescent="0.25">
      <c r="A11" s="7" t="s">
        <v>179</v>
      </c>
      <c r="B11" s="4" t="s">
        <v>35</v>
      </c>
      <c r="C11" s="4">
        <v>0</v>
      </c>
      <c r="D11" s="4">
        <v>5.3</v>
      </c>
      <c r="E11" s="4">
        <v>1</v>
      </c>
      <c r="F11" s="6">
        <v>6.3</v>
      </c>
      <c r="G11" s="4">
        <v>31.1</v>
      </c>
      <c r="H11" s="4" t="s">
        <v>15</v>
      </c>
      <c r="I11" s="4">
        <f t="shared" si="0"/>
        <v>195.93</v>
      </c>
      <c r="J11" s="4" t="s">
        <v>180</v>
      </c>
      <c r="K11" s="4">
        <v>1</v>
      </c>
      <c r="L11" s="5" t="s">
        <v>229</v>
      </c>
    </row>
    <row r="12" spans="1:12" x14ac:dyDescent="0.25">
      <c r="A12" s="7" t="s">
        <v>179</v>
      </c>
      <c r="B12" s="4" t="s">
        <v>28</v>
      </c>
      <c r="C12" s="4">
        <v>55.9</v>
      </c>
      <c r="D12" s="4">
        <v>0.03</v>
      </c>
      <c r="E12" s="4">
        <v>0.2</v>
      </c>
      <c r="F12" s="6">
        <v>56.13</v>
      </c>
      <c r="G12" s="4">
        <v>27.1</v>
      </c>
      <c r="H12" s="4" t="s">
        <v>15</v>
      </c>
      <c r="I12" s="4">
        <f t="shared" si="0"/>
        <v>1521.123</v>
      </c>
      <c r="J12" s="4" t="s">
        <v>180</v>
      </c>
      <c r="K12" s="4">
        <v>1</v>
      </c>
      <c r="L12" s="5" t="s">
        <v>229</v>
      </c>
    </row>
    <row r="13" spans="1:12" x14ac:dyDescent="0.25">
      <c r="A13" s="7" t="s">
        <v>179</v>
      </c>
      <c r="B13" s="4" t="s">
        <v>27</v>
      </c>
      <c r="C13" s="4">
        <v>62.8</v>
      </c>
      <c r="D13" s="4">
        <v>0.03</v>
      </c>
      <c r="E13" s="4">
        <v>0.2</v>
      </c>
      <c r="F13" s="6">
        <v>63.03</v>
      </c>
      <c r="G13" s="4">
        <v>32</v>
      </c>
      <c r="H13" s="4" t="s">
        <v>15</v>
      </c>
      <c r="I13" s="4">
        <f t="shared" si="0"/>
        <v>2016.96</v>
      </c>
      <c r="J13" s="4" t="s">
        <v>180</v>
      </c>
      <c r="K13" s="4">
        <v>1</v>
      </c>
      <c r="L13" s="5" t="s">
        <v>229</v>
      </c>
    </row>
    <row r="14" spans="1:12" x14ac:dyDescent="0.25">
      <c r="A14" s="7" t="s">
        <v>179</v>
      </c>
      <c r="B14" s="4" t="s">
        <v>26</v>
      </c>
      <c r="C14" s="4">
        <v>81.599999999999994</v>
      </c>
      <c r="D14" s="4">
        <v>0.03</v>
      </c>
      <c r="E14" s="4">
        <v>0.2</v>
      </c>
      <c r="F14" s="6">
        <v>81.83</v>
      </c>
      <c r="G14" s="4">
        <v>26.3</v>
      </c>
      <c r="H14" s="4" t="s">
        <v>15</v>
      </c>
      <c r="I14" s="4">
        <f t="shared" si="0"/>
        <v>2152.1289999999999</v>
      </c>
      <c r="J14" s="4" t="s">
        <v>180</v>
      </c>
      <c r="K14" s="4">
        <v>1</v>
      </c>
      <c r="L14" s="5" t="s">
        <v>229</v>
      </c>
    </row>
    <row r="15" spans="1:12" x14ac:dyDescent="0.25">
      <c r="A15" s="7" t="s">
        <v>179</v>
      </c>
      <c r="B15" s="4" t="s">
        <v>24</v>
      </c>
      <c r="C15" s="4">
        <v>81.8</v>
      </c>
      <c r="D15" s="4">
        <v>0.03</v>
      </c>
      <c r="E15" s="4">
        <v>0.2</v>
      </c>
      <c r="F15" s="6">
        <v>82.03</v>
      </c>
      <c r="G15" s="4">
        <v>37.5</v>
      </c>
      <c r="H15" s="4" t="s">
        <v>15</v>
      </c>
      <c r="I15" s="4">
        <f t="shared" si="0"/>
        <v>3076.125</v>
      </c>
      <c r="J15" s="4" t="s">
        <v>180</v>
      </c>
      <c r="K15" s="4">
        <v>1</v>
      </c>
      <c r="L15" s="5" t="s">
        <v>229</v>
      </c>
    </row>
    <row r="16" spans="1:12" x14ac:dyDescent="0.25">
      <c r="A16" s="7" t="s">
        <v>179</v>
      </c>
      <c r="B16" s="4" t="s">
        <v>29</v>
      </c>
      <c r="C16" s="4">
        <v>87.1</v>
      </c>
      <c r="D16" s="4">
        <v>0.8</v>
      </c>
      <c r="E16" s="4">
        <v>1</v>
      </c>
      <c r="F16" s="6">
        <v>88.9</v>
      </c>
      <c r="G16" s="4">
        <v>10.5</v>
      </c>
      <c r="H16" s="4" t="s">
        <v>15</v>
      </c>
      <c r="I16" s="4">
        <f t="shared" si="0"/>
        <v>933.45</v>
      </c>
      <c r="J16" s="4" t="s">
        <v>180</v>
      </c>
      <c r="K16" s="4">
        <v>1</v>
      </c>
      <c r="L16" s="5" t="s">
        <v>229</v>
      </c>
    </row>
    <row r="17" spans="1:12" x14ac:dyDescent="0.25">
      <c r="A17" s="7" t="s">
        <v>179</v>
      </c>
      <c r="B17" s="4" t="s">
        <v>16</v>
      </c>
      <c r="C17" s="4">
        <v>90</v>
      </c>
      <c r="D17" s="4">
        <v>0.04</v>
      </c>
      <c r="E17" s="4">
        <v>0.2</v>
      </c>
      <c r="F17" s="6">
        <v>90.24</v>
      </c>
      <c r="G17" s="4">
        <v>27</v>
      </c>
      <c r="H17" s="4" t="s">
        <v>15</v>
      </c>
      <c r="I17" s="4">
        <f t="shared" si="0"/>
        <v>2436.48</v>
      </c>
      <c r="J17" s="4" t="s">
        <v>180</v>
      </c>
      <c r="K17" s="4">
        <v>1</v>
      </c>
      <c r="L17" s="5" t="s">
        <v>229</v>
      </c>
    </row>
    <row r="18" spans="1:12" x14ac:dyDescent="0.25">
      <c r="A18" s="7" t="s">
        <v>179</v>
      </c>
      <c r="B18" s="4" t="s">
        <v>17</v>
      </c>
      <c r="C18" s="4">
        <v>90</v>
      </c>
      <c r="D18" s="4">
        <v>0.04</v>
      </c>
      <c r="E18" s="4">
        <v>0.2</v>
      </c>
      <c r="F18" s="6">
        <v>90.24</v>
      </c>
      <c r="G18" s="4">
        <v>21</v>
      </c>
      <c r="H18" s="4" t="s">
        <v>15</v>
      </c>
      <c r="I18" s="4">
        <f t="shared" si="0"/>
        <v>1895.04</v>
      </c>
      <c r="J18" s="4" t="s">
        <v>180</v>
      </c>
      <c r="K18" s="4">
        <v>1</v>
      </c>
      <c r="L18" s="5" t="s">
        <v>229</v>
      </c>
    </row>
    <row r="19" spans="1:12" x14ac:dyDescent="0.25">
      <c r="A19" s="7" t="s">
        <v>179</v>
      </c>
      <c r="B19" s="4" t="s">
        <v>18</v>
      </c>
      <c r="C19" s="4">
        <v>90</v>
      </c>
      <c r="D19" s="4">
        <v>0.04</v>
      </c>
      <c r="E19" s="4">
        <v>0.2</v>
      </c>
      <c r="F19" s="6">
        <v>90.24</v>
      </c>
      <c r="G19" s="4">
        <v>29</v>
      </c>
      <c r="H19" s="4" t="s">
        <v>15</v>
      </c>
      <c r="I19" s="4">
        <f t="shared" si="0"/>
        <v>2616.96</v>
      </c>
      <c r="J19" s="4" t="s">
        <v>180</v>
      </c>
      <c r="K19" s="4">
        <v>1</v>
      </c>
      <c r="L19" s="5" t="s">
        <v>229</v>
      </c>
    </row>
    <row r="20" spans="1:12" x14ac:dyDescent="0.25">
      <c r="A20" s="7" t="s">
        <v>179</v>
      </c>
      <c r="B20" s="4" t="s">
        <v>21</v>
      </c>
      <c r="C20" s="4">
        <v>91.8</v>
      </c>
      <c r="D20" s="4">
        <v>0.03</v>
      </c>
      <c r="E20" s="4">
        <v>0.2</v>
      </c>
      <c r="F20" s="6">
        <v>92.03</v>
      </c>
      <c r="G20" s="4">
        <v>30</v>
      </c>
      <c r="H20" s="4" t="s">
        <v>15</v>
      </c>
      <c r="I20" s="4">
        <f t="shared" si="0"/>
        <v>2760.9</v>
      </c>
      <c r="J20" s="4" t="s">
        <v>180</v>
      </c>
      <c r="K20" s="4">
        <v>1</v>
      </c>
      <c r="L20" s="5" t="s">
        <v>229</v>
      </c>
    </row>
    <row r="21" spans="1:12" x14ac:dyDescent="0.25">
      <c r="A21" s="7" t="s">
        <v>179</v>
      </c>
      <c r="B21" s="4" t="s">
        <v>20</v>
      </c>
      <c r="C21" s="4">
        <v>93.5</v>
      </c>
      <c r="D21" s="4">
        <v>0.02</v>
      </c>
      <c r="E21" s="4">
        <v>0.3</v>
      </c>
      <c r="F21" s="6">
        <v>93.82</v>
      </c>
      <c r="G21" s="4">
        <v>10.199999999999999</v>
      </c>
      <c r="H21" s="4" t="s">
        <v>15</v>
      </c>
      <c r="I21" s="4">
        <f t="shared" si="0"/>
        <v>956.96399999999983</v>
      </c>
      <c r="J21" s="4" t="s">
        <v>180</v>
      </c>
      <c r="K21" s="4">
        <v>1</v>
      </c>
      <c r="L21" s="5" t="s">
        <v>229</v>
      </c>
    </row>
    <row r="22" spans="1:12" x14ac:dyDescent="0.25">
      <c r="A22" s="7" t="s">
        <v>179</v>
      </c>
      <c r="B22" s="4" t="s">
        <v>25</v>
      </c>
      <c r="C22" s="4">
        <v>95</v>
      </c>
      <c r="D22" s="4">
        <v>0.08</v>
      </c>
      <c r="E22" s="4">
        <v>0.2</v>
      </c>
      <c r="F22" s="6">
        <v>95.28</v>
      </c>
      <c r="G22" s="4">
        <v>22.1</v>
      </c>
      <c r="H22" s="4" t="s">
        <v>15</v>
      </c>
      <c r="I22" s="4">
        <f t="shared" si="0"/>
        <v>2105.6880000000001</v>
      </c>
      <c r="J22" s="4" t="s">
        <v>180</v>
      </c>
      <c r="K22" s="4">
        <v>1</v>
      </c>
      <c r="L22" s="5" t="s">
        <v>229</v>
      </c>
    </row>
    <row r="23" spans="1:12" x14ac:dyDescent="0.25">
      <c r="A23" s="7" t="s">
        <v>179</v>
      </c>
      <c r="B23" s="4" t="s">
        <v>22</v>
      </c>
      <c r="C23" s="4">
        <v>95</v>
      </c>
      <c r="D23" s="4">
        <v>0.08</v>
      </c>
      <c r="E23" s="4">
        <v>0.3</v>
      </c>
      <c r="F23" s="6">
        <v>95.38</v>
      </c>
      <c r="G23" s="4">
        <v>22.1</v>
      </c>
      <c r="H23" s="4" t="s">
        <v>15</v>
      </c>
      <c r="I23" s="4">
        <f t="shared" si="0"/>
        <v>2107.8980000000001</v>
      </c>
      <c r="J23" s="4" t="s">
        <v>180</v>
      </c>
      <c r="K23" s="4">
        <v>1</v>
      </c>
      <c r="L23" s="5" t="s">
        <v>229</v>
      </c>
    </row>
    <row r="24" spans="1:12" x14ac:dyDescent="0.25">
      <c r="A24" s="7" t="s">
        <v>179</v>
      </c>
      <c r="B24" s="4" t="s">
        <v>23</v>
      </c>
      <c r="C24" s="4">
        <v>107</v>
      </c>
      <c r="D24" s="4">
        <v>0.03</v>
      </c>
      <c r="E24" s="4">
        <v>0.2</v>
      </c>
      <c r="F24" s="6">
        <v>107.23</v>
      </c>
      <c r="G24" s="4">
        <v>27</v>
      </c>
      <c r="H24" s="4" t="s">
        <v>15</v>
      </c>
      <c r="I24" s="4">
        <f t="shared" si="0"/>
        <v>2895.21</v>
      </c>
      <c r="J24" s="4" t="s">
        <v>180</v>
      </c>
      <c r="K24" s="4">
        <v>1</v>
      </c>
      <c r="L24" s="5" t="s">
        <v>229</v>
      </c>
    </row>
    <row r="25" spans="1:12" x14ac:dyDescent="0.25">
      <c r="A25" s="7" t="s">
        <v>181</v>
      </c>
      <c r="B25" s="4" t="s">
        <v>49</v>
      </c>
      <c r="C25" s="4">
        <v>51.4</v>
      </c>
      <c r="D25" s="4">
        <v>0.1</v>
      </c>
      <c r="E25" s="4">
        <v>0.03</v>
      </c>
      <c r="F25" s="6">
        <v>51.53</v>
      </c>
      <c r="G25" s="4">
        <v>25.3</v>
      </c>
      <c r="H25" s="4" t="s">
        <v>182</v>
      </c>
      <c r="I25" s="4">
        <f t="shared" si="0"/>
        <v>1303.7090000000001</v>
      </c>
      <c r="J25" s="4" t="s">
        <v>183</v>
      </c>
      <c r="K25" s="4">
        <v>1</v>
      </c>
      <c r="L25" s="5" t="s">
        <v>239</v>
      </c>
    </row>
    <row r="26" spans="1:12" x14ac:dyDescent="0.25">
      <c r="A26" s="7" t="s">
        <v>181</v>
      </c>
      <c r="B26" s="4" t="s">
        <v>40</v>
      </c>
      <c r="C26" s="4">
        <v>51.4</v>
      </c>
      <c r="D26" s="4">
        <v>0.1</v>
      </c>
      <c r="E26" s="4">
        <v>0.03</v>
      </c>
      <c r="F26" s="6">
        <v>51.53</v>
      </c>
      <c r="G26" s="4">
        <v>3.9300000000000002E-2</v>
      </c>
      <c r="H26" s="4" t="s">
        <v>184</v>
      </c>
      <c r="I26" s="4">
        <f t="shared" si="0"/>
        <v>2.0251290000000002</v>
      </c>
      <c r="J26" s="4" t="s">
        <v>185</v>
      </c>
      <c r="K26" s="4">
        <v>1</v>
      </c>
      <c r="L26" s="5" t="s">
        <v>239</v>
      </c>
    </row>
    <row r="27" spans="1:12" x14ac:dyDescent="0.25">
      <c r="A27" s="7" t="s">
        <v>181</v>
      </c>
      <c r="B27" s="4" t="s">
        <v>41</v>
      </c>
      <c r="C27" s="4">
        <v>51.4</v>
      </c>
      <c r="D27" s="4">
        <v>0.2</v>
      </c>
      <c r="E27" s="4">
        <v>0.03</v>
      </c>
      <c r="F27" s="6">
        <v>51.63</v>
      </c>
      <c r="G27" s="4">
        <v>3.7699999999999997E-2</v>
      </c>
      <c r="H27" s="4" t="s">
        <v>184</v>
      </c>
      <c r="I27" s="4">
        <f t="shared" si="0"/>
        <v>1.9464509999999999</v>
      </c>
      <c r="J27" s="4" t="s">
        <v>185</v>
      </c>
      <c r="K27" s="4">
        <v>1</v>
      </c>
      <c r="L27" s="5" t="s">
        <v>239</v>
      </c>
    </row>
    <row r="28" spans="1:12" x14ac:dyDescent="0.25">
      <c r="A28" s="7" t="s">
        <v>181</v>
      </c>
      <c r="B28" s="4" t="s">
        <v>42</v>
      </c>
      <c r="C28" s="4">
        <v>51.9</v>
      </c>
      <c r="D28" s="4">
        <v>4.5999999999999996</v>
      </c>
      <c r="E28" s="4">
        <v>0.3</v>
      </c>
      <c r="F28" s="6">
        <v>56.8</v>
      </c>
      <c r="G28" s="4">
        <v>3.7699999999999997E-2</v>
      </c>
      <c r="H28" s="4" t="s">
        <v>184</v>
      </c>
      <c r="I28" s="4">
        <f t="shared" si="0"/>
        <v>2.1413599999999997</v>
      </c>
      <c r="J28" s="4" t="s">
        <v>185</v>
      </c>
      <c r="K28" s="4">
        <v>1</v>
      </c>
      <c r="L28" s="5" t="s">
        <v>239</v>
      </c>
    </row>
    <row r="29" spans="1:12" x14ac:dyDescent="0.25">
      <c r="A29" s="7" t="s">
        <v>181</v>
      </c>
      <c r="B29" s="4" t="s">
        <v>43</v>
      </c>
      <c r="C29" s="4">
        <v>51.4</v>
      </c>
      <c r="D29" s="4">
        <v>0.1</v>
      </c>
      <c r="E29" s="4">
        <v>0.03</v>
      </c>
      <c r="F29" s="6">
        <v>51.53</v>
      </c>
      <c r="G29" s="4">
        <v>3.9300000000000002E-2</v>
      </c>
      <c r="H29" s="4" t="s">
        <v>184</v>
      </c>
      <c r="I29" s="4">
        <f t="shared" si="0"/>
        <v>2.0251290000000002</v>
      </c>
      <c r="J29" s="4" t="s">
        <v>185</v>
      </c>
      <c r="K29" s="4">
        <v>1</v>
      </c>
      <c r="L29" s="5" t="s">
        <v>239</v>
      </c>
    </row>
    <row r="30" spans="1:12" x14ac:dyDescent="0.25">
      <c r="A30" s="7" t="s">
        <v>181</v>
      </c>
      <c r="B30" s="4" t="s">
        <v>44</v>
      </c>
      <c r="C30" s="4">
        <v>51.4</v>
      </c>
      <c r="D30" s="4">
        <v>0.1</v>
      </c>
      <c r="E30" s="4">
        <v>0.03</v>
      </c>
      <c r="F30" s="6">
        <v>51.53</v>
      </c>
      <c r="G30" s="4">
        <v>3.9300000000000002E-2</v>
      </c>
      <c r="H30" s="4" t="s">
        <v>184</v>
      </c>
      <c r="I30" s="4">
        <f t="shared" si="0"/>
        <v>2.0251290000000002</v>
      </c>
      <c r="J30" s="4" t="s">
        <v>185</v>
      </c>
      <c r="K30" s="4">
        <v>1</v>
      </c>
      <c r="L30" s="5" t="s">
        <v>239</v>
      </c>
    </row>
    <row r="31" spans="1:12" x14ac:dyDescent="0.25">
      <c r="A31" s="7" t="s">
        <v>181</v>
      </c>
      <c r="B31" s="4" t="s">
        <v>45</v>
      </c>
      <c r="C31" s="4">
        <v>56.5</v>
      </c>
      <c r="D31" s="4">
        <v>0.03</v>
      </c>
      <c r="E31" s="4">
        <v>0.03</v>
      </c>
      <c r="F31" s="6">
        <v>56.56</v>
      </c>
      <c r="G31" s="4">
        <v>6.2899999999999998E-2</v>
      </c>
      <c r="H31" s="4" t="s">
        <v>184</v>
      </c>
      <c r="I31" s="4">
        <f t="shared" si="0"/>
        <v>3.5576240000000001</v>
      </c>
      <c r="J31" s="4" t="s">
        <v>185</v>
      </c>
      <c r="K31" s="4">
        <v>1</v>
      </c>
      <c r="L31" s="5" t="s">
        <v>239</v>
      </c>
    </row>
    <row r="32" spans="1:12" x14ac:dyDescent="0.25">
      <c r="A32" s="7" t="s">
        <v>181</v>
      </c>
      <c r="B32" s="4" t="s">
        <v>46</v>
      </c>
      <c r="C32" s="4">
        <v>37</v>
      </c>
      <c r="D32" s="4">
        <v>0.03</v>
      </c>
      <c r="E32" s="4">
        <v>0.05</v>
      </c>
      <c r="F32" s="6">
        <v>37.08</v>
      </c>
      <c r="G32" s="4">
        <v>1.8100000000000002E-2</v>
      </c>
      <c r="H32" s="4" t="s">
        <v>184</v>
      </c>
      <c r="I32" s="4">
        <f t="shared" si="0"/>
        <v>0.67114800000000008</v>
      </c>
      <c r="J32" s="4" t="s">
        <v>185</v>
      </c>
      <c r="K32" s="4">
        <v>1</v>
      </c>
      <c r="L32" s="5" t="s">
        <v>239</v>
      </c>
    </row>
    <row r="33" spans="1:12" x14ac:dyDescent="0.25">
      <c r="A33" s="7" t="s">
        <v>181</v>
      </c>
      <c r="B33" s="4" t="s">
        <v>47</v>
      </c>
      <c r="C33" s="4">
        <v>234</v>
      </c>
      <c r="D33" s="4">
        <v>0.03</v>
      </c>
      <c r="E33" s="4">
        <v>0.02</v>
      </c>
      <c r="F33" s="6">
        <v>234.05</v>
      </c>
      <c r="G33" s="4">
        <v>4.0000000000000001E-3</v>
      </c>
      <c r="H33" s="4" t="s">
        <v>184</v>
      </c>
      <c r="I33" s="4">
        <f t="shared" si="0"/>
        <v>0.93620000000000003</v>
      </c>
      <c r="J33" s="4" t="s">
        <v>185</v>
      </c>
      <c r="K33" s="4">
        <v>1</v>
      </c>
      <c r="L33" s="5" t="s">
        <v>239</v>
      </c>
    </row>
    <row r="34" spans="1:12" x14ac:dyDescent="0.25">
      <c r="A34" s="7" t="s">
        <v>181</v>
      </c>
      <c r="B34" s="4" t="s">
        <v>48</v>
      </c>
      <c r="C34" s="4">
        <v>60.2</v>
      </c>
      <c r="D34" s="4">
        <v>0.04</v>
      </c>
      <c r="E34" s="4">
        <v>0.03</v>
      </c>
      <c r="F34" s="6">
        <v>60.27</v>
      </c>
      <c r="G34" s="4">
        <v>3.9E-2</v>
      </c>
      <c r="H34" s="4" t="s">
        <v>184</v>
      </c>
      <c r="I34" s="4">
        <f t="shared" si="0"/>
        <v>2.35053</v>
      </c>
      <c r="J34" s="4" t="s">
        <v>185</v>
      </c>
      <c r="K34" s="4">
        <v>1</v>
      </c>
      <c r="L34" s="5" t="s">
        <v>239</v>
      </c>
    </row>
    <row r="35" spans="1:12" x14ac:dyDescent="0.25">
      <c r="A35" s="7" t="s">
        <v>181</v>
      </c>
      <c r="B35" s="4" t="s">
        <v>50</v>
      </c>
      <c r="C35" s="4">
        <v>51.4</v>
      </c>
      <c r="D35" s="4">
        <v>0.1</v>
      </c>
      <c r="E35" s="4">
        <v>0.03</v>
      </c>
      <c r="F35" s="6">
        <v>51.53</v>
      </c>
      <c r="G35" s="4">
        <v>3.9E-2</v>
      </c>
      <c r="H35" s="4" t="s">
        <v>184</v>
      </c>
      <c r="I35" s="4">
        <f t="shared" si="0"/>
        <v>2.0096699999999998</v>
      </c>
      <c r="J35" s="4" t="s">
        <v>185</v>
      </c>
      <c r="K35" s="4">
        <v>1</v>
      </c>
      <c r="L35" s="5" t="s">
        <v>239</v>
      </c>
    </row>
    <row r="36" spans="1:12" x14ac:dyDescent="0.25">
      <c r="A36" s="7" t="s">
        <v>181</v>
      </c>
      <c r="B36" s="4" t="s">
        <v>51</v>
      </c>
      <c r="C36" s="4">
        <v>0</v>
      </c>
      <c r="D36" s="4">
        <v>6.4</v>
      </c>
      <c r="E36" s="4">
        <v>0.03</v>
      </c>
      <c r="F36" s="6">
        <v>6.43</v>
      </c>
      <c r="G36" s="4">
        <v>3.7699999999999997E-2</v>
      </c>
      <c r="H36" s="4" t="s">
        <v>184</v>
      </c>
      <c r="I36" s="4">
        <f t="shared" si="0"/>
        <v>0.24241099999999996</v>
      </c>
      <c r="J36" s="4" t="s">
        <v>185</v>
      </c>
      <c r="K36" s="4">
        <v>1</v>
      </c>
      <c r="L36" s="5" t="s">
        <v>239</v>
      </c>
    </row>
    <row r="37" spans="1:12" x14ac:dyDescent="0.25">
      <c r="A37" s="7" t="s">
        <v>181</v>
      </c>
      <c r="B37" s="4" t="s">
        <v>52</v>
      </c>
      <c r="C37" s="4">
        <v>0</v>
      </c>
      <c r="D37" s="4">
        <v>6.4</v>
      </c>
      <c r="E37" s="4">
        <v>0.03</v>
      </c>
      <c r="F37" s="6">
        <v>6.43</v>
      </c>
      <c r="G37" s="4">
        <v>3.7699999999999997E-2</v>
      </c>
      <c r="H37" s="4" t="s">
        <v>184</v>
      </c>
      <c r="I37" s="4">
        <f t="shared" ref="I37:I71" si="1">G37*F37</f>
        <v>0.24241099999999996</v>
      </c>
      <c r="J37" s="4" t="s">
        <v>185</v>
      </c>
      <c r="K37" s="4">
        <v>1</v>
      </c>
      <c r="L37" s="5" t="s">
        <v>239</v>
      </c>
    </row>
    <row r="38" spans="1:12" x14ac:dyDescent="0.25">
      <c r="A38" s="7" t="s">
        <v>181</v>
      </c>
      <c r="B38" s="4" t="s">
        <v>53</v>
      </c>
      <c r="C38" s="4">
        <v>0</v>
      </c>
      <c r="D38" s="4">
        <v>6.4</v>
      </c>
      <c r="E38" s="4">
        <v>0.03</v>
      </c>
      <c r="F38" s="6">
        <v>6.43</v>
      </c>
      <c r="G38" s="4">
        <v>3.6999999999999998E-2</v>
      </c>
      <c r="H38" s="4" t="s">
        <v>184</v>
      </c>
      <c r="I38" s="4">
        <f t="shared" si="1"/>
        <v>0.23790999999999998</v>
      </c>
      <c r="J38" s="4" t="s">
        <v>185</v>
      </c>
      <c r="K38" s="4">
        <v>1</v>
      </c>
      <c r="L38" s="5" t="s">
        <v>239</v>
      </c>
    </row>
    <row r="39" spans="1:12" x14ac:dyDescent="0.25">
      <c r="A39" s="7" t="s">
        <v>181</v>
      </c>
      <c r="B39" s="4" t="s">
        <v>54</v>
      </c>
      <c r="C39" s="4">
        <v>0</v>
      </c>
      <c r="D39" s="4">
        <v>0.1</v>
      </c>
      <c r="E39" s="4">
        <v>0.03</v>
      </c>
      <c r="F39" s="6">
        <v>0.13</v>
      </c>
      <c r="G39" s="4">
        <v>3.9300000000000002E-2</v>
      </c>
      <c r="H39" s="4" t="s">
        <v>184</v>
      </c>
      <c r="I39" s="4">
        <f t="shared" si="1"/>
        <v>5.1090000000000007E-3</v>
      </c>
      <c r="J39" s="4" t="s">
        <v>185</v>
      </c>
      <c r="K39" s="4">
        <v>1</v>
      </c>
      <c r="L39" s="5" t="s">
        <v>239</v>
      </c>
    </row>
    <row r="40" spans="1:12" x14ac:dyDescent="0.25">
      <c r="A40" s="7" t="s">
        <v>181</v>
      </c>
      <c r="B40" s="4" t="s">
        <v>340</v>
      </c>
      <c r="C40" s="4">
        <v>0</v>
      </c>
      <c r="D40" s="4">
        <v>0</v>
      </c>
      <c r="E40" s="4">
        <v>0.05</v>
      </c>
      <c r="F40" s="6">
        <v>0.05</v>
      </c>
      <c r="G40" s="4">
        <v>1.2200000000000001E-2</v>
      </c>
      <c r="H40" s="4" t="s">
        <v>184</v>
      </c>
      <c r="I40" s="4">
        <f t="shared" ref="I40" si="2">G40*F40</f>
        <v>6.1000000000000008E-4</v>
      </c>
      <c r="J40" s="4" t="s">
        <v>185</v>
      </c>
      <c r="K40" s="4">
        <v>1</v>
      </c>
      <c r="L40" s="5" t="s">
        <v>239</v>
      </c>
    </row>
    <row r="41" spans="1:12" x14ac:dyDescent="0.25">
      <c r="A41" s="7" t="s">
        <v>186</v>
      </c>
      <c r="B41" s="4" t="s">
        <v>65</v>
      </c>
      <c r="C41" s="4">
        <v>13.9</v>
      </c>
      <c r="D41" s="4">
        <v>0</v>
      </c>
      <c r="E41" s="4">
        <v>0</v>
      </c>
      <c r="F41" s="6">
        <v>13.9</v>
      </c>
      <c r="G41" s="4">
        <v>38.799999999999997</v>
      </c>
      <c r="H41" s="4" t="s">
        <v>182</v>
      </c>
      <c r="I41" s="4">
        <f t="shared" si="1"/>
        <v>539.31999999999994</v>
      </c>
      <c r="J41" s="4" t="s">
        <v>183</v>
      </c>
      <c r="K41" s="4">
        <v>1</v>
      </c>
      <c r="L41" s="5" t="s">
        <v>247</v>
      </c>
    </row>
    <row r="42" spans="1:12" x14ac:dyDescent="0.25">
      <c r="A42" s="7" t="s">
        <v>186</v>
      </c>
      <c r="B42" s="4" t="s">
        <v>66</v>
      </c>
      <c r="C42" s="4">
        <v>3.5</v>
      </c>
      <c r="D42" s="4">
        <v>0</v>
      </c>
      <c r="E42" s="4">
        <v>0</v>
      </c>
      <c r="F42" s="6">
        <v>3.5</v>
      </c>
      <c r="G42" s="4">
        <v>38.799999999999997</v>
      </c>
      <c r="H42" s="4" t="s">
        <v>182</v>
      </c>
      <c r="I42" s="4">
        <f t="shared" si="1"/>
        <v>135.79999999999998</v>
      </c>
      <c r="J42" s="4" t="s">
        <v>183</v>
      </c>
      <c r="K42" s="4">
        <v>1</v>
      </c>
      <c r="L42" s="5" t="s">
        <v>247</v>
      </c>
    </row>
    <row r="43" spans="1:12" x14ac:dyDescent="0.25">
      <c r="A43" s="7" t="s">
        <v>186</v>
      </c>
      <c r="B43" s="4" t="s">
        <v>71</v>
      </c>
      <c r="C43" s="4">
        <v>67.400000000000006</v>
      </c>
      <c r="D43" s="4">
        <v>0.2</v>
      </c>
      <c r="E43" s="4">
        <v>0.2</v>
      </c>
      <c r="F43" s="6">
        <v>67.8</v>
      </c>
      <c r="G43" s="4">
        <v>34.200000000000003</v>
      </c>
      <c r="H43" s="4" t="s">
        <v>182</v>
      </c>
      <c r="I43" s="4">
        <f t="shared" si="1"/>
        <v>2318.7600000000002</v>
      </c>
      <c r="J43" s="4" t="s">
        <v>183</v>
      </c>
      <c r="K43" s="4">
        <v>1</v>
      </c>
      <c r="L43" s="5" t="s">
        <v>247</v>
      </c>
    </row>
    <row r="44" spans="1:12" x14ac:dyDescent="0.25">
      <c r="A44" s="7" t="s">
        <v>186</v>
      </c>
      <c r="B44" s="4" t="s">
        <v>72</v>
      </c>
      <c r="C44" s="4">
        <v>67</v>
      </c>
      <c r="D44" s="4">
        <v>0.2</v>
      </c>
      <c r="E44" s="4">
        <v>0.2</v>
      </c>
      <c r="F44" s="6">
        <v>67.400000000000006</v>
      </c>
      <c r="G44" s="4">
        <v>33.1</v>
      </c>
      <c r="H44" s="4" t="s">
        <v>182</v>
      </c>
      <c r="I44" s="4">
        <f t="shared" si="1"/>
        <v>2230.9400000000005</v>
      </c>
      <c r="J44" s="4" t="s">
        <v>183</v>
      </c>
      <c r="K44" s="4">
        <v>1</v>
      </c>
      <c r="L44" s="5" t="s">
        <v>247</v>
      </c>
    </row>
    <row r="45" spans="1:12" x14ac:dyDescent="0.25">
      <c r="A45" s="7" t="s">
        <v>186</v>
      </c>
      <c r="B45" s="4" t="s">
        <v>73</v>
      </c>
      <c r="C45" s="4">
        <v>68.900000000000006</v>
      </c>
      <c r="D45" s="4">
        <v>0.01</v>
      </c>
      <c r="E45" s="4">
        <v>0.2</v>
      </c>
      <c r="F45" s="6">
        <v>69.11</v>
      </c>
      <c r="G45" s="4">
        <v>37.5</v>
      </c>
      <c r="H45" s="4" t="s">
        <v>182</v>
      </c>
      <c r="I45" s="4">
        <f t="shared" si="1"/>
        <v>2591.625</v>
      </c>
      <c r="J45" s="4" t="s">
        <v>183</v>
      </c>
      <c r="K45" s="4">
        <v>1</v>
      </c>
      <c r="L45" s="5" t="s">
        <v>247</v>
      </c>
    </row>
    <row r="46" spans="1:12" x14ac:dyDescent="0.25">
      <c r="A46" s="7" t="s">
        <v>186</v>
      </c>
      <c r="B46" s="4" t="s">
        <v>74</v>
      </c>
      <c r="C46" s="4">
        <v>69.599999999999994</v>
      </c>
      <c r="D46" s="4">
        <v>0.02</v>
      </c>
      <c r="E46" s="4">
        <v>0.2</v>
      </c>
      <c r="F46" s="6">
        <v>69.819999999999993</v>
      </c>
      <c r="G46" s="4">
        <v>36.799999999999997</v>
      </c>
      <c r="H46" s="4" t="s">
        <v>182</v>
      </c>
      <c r="I46" s="4">
        <f t="shared" si="1"/>
        <v>2569.3759999999997</v>
      </c>
      <c r="J46" s="4" t="s">
        <v>183</v>
      </c>
      <c r="K46" s="4">
        <v>1</v>
      </c>
      <c r="L46" s="5" t="s">
        <v>247</v>
      </c>
    </row>
    <row r="47" spans="1:12" x14ac:dyDescent="0.25">
      <c r="A47" s="7" t="s">
        <v>186</v>
      </c>
      <c r="B47" s="4" t="s">
        <v>76</v>
      </c>
      <c r="C47" s="4">
        <v>69.5</v>
      </c>
      <c r="D47" s="4">
        <v>0.03</v>
      </c>
      <c r="E47" s="4">
        <v>0.2</v>
      </c>
      <c r="F47" s="6">
        <v>69.73</v>
      </c>
      <c r="G47" s="4">
        <v>37.299999999999997</v>
      </c>
      <c r="H47" s="4" t="s">
        <v>182</v>
      </c>
      <c r="I47" s="4">
        <f t="shared" si="1"/>
        <v>2600.9290000000001</v>
      </c>
      <c r="J47" s="4" t="s">
        <v>183</v>
      </c>
      <c r="K47" s="4">
        <v>1</v>
      </c>
      <c r="L47" s="5" t="s">
        <v>247</v>
      </c>
    </row>
    <row r="48" spans="1:12" x14ac:dyDescent="0.25">
      <c r="A48" s="7" t="s">
        <v>186</v>
      </c>
      <c r="B48" s="4" t="s">
        <v>77</v>
      </c>
      <c r="C48" s="4">
        <v>69.900000000000006</v>
      </c>
      <c r="D48" s="4">
        <v>0.1</v>
      </c>
      <c r="E48" s="4">
        <v>0.2</v>
      </c>
      <c r="F48" s="6">
        <v>70.2</v>
      </c>
      <c r="G48" s="4">
        <v>38.6</v>
      </c>
      <c r="H48" s="4" t="s">
        <v>182</v>
      </c>
      <c r="I48" s="4">
        <f t="shared" si="1"/>
        <v>2709.7200000000003</v>
      </c>
      <c r="J48" s="4" t="s">
        <v>183</v>
      </c>
      <c r="K48" s="4">
        <v>1</v>
      </c>
      <c r="L48" s="5" t="s">
        <v>247</v>
      </c>
    </row>
    <row r="49" spans="1:12" x14ac:dyDescent="0.25">
      <c r="A49" s="7" t="s">
        <v>186</v>
      </c>
      <c r="B49" s="4" t="s">
        <v>79</v>
      </c>
      <c r="C49" s="4">
        <v>73.599999999999994</v>
      </c>
      <c r="D49" s="4">
        <v>0.04</v>
      </c>
      <c r="E49" s="4">
        <v>0.2</v>
      </c>
      <c r="F49" s="6">
        <v>73.84</v>
      </c>
      <c r="G49" s="4">
        <v>39.700000000000003</v>
      </c>
      <c r="H49" s="4" t="s">
        <v>182</v>
      </c>
      <c r="I49" s="4">
        <f t="shared" si="1"/>
        <v>2931.4480000000003</v>
      </c>
      <c r="J49" s="4" t="s">
        <v>183</v>
      </c>
      <c r="K49" s="4">
        <v>1</v>
      </c>
      <c r="L49" s="5" t="s">
        <v>247</v>
      </c>
    </row>
    <row r="50" spans="1:12" x14ac:dyDescent="0.25">
      <c r="A50" s="7" t="s">
        <v>186</v>
      </c>
      <c r="B50" s="4" t="s">
        <v>80</v>
      </c>
      <c r="C50" s="4">
        <v>69.7</v>
      </c>
      <c r="D50" s="4">
        <v>0.03</v>
      </c>
      <c r="E50" s="4">
        <v>0.2</v>
      </c>
      <c r="F50" s="6">
        <v>69.930000000000007</v>
      </c>
      <c r="G50" s="4">
        <v>34.4</v>
      </c>
      <c r="H50" s="4" t="s">
        <v>182</v>
      </c>
      <c r="I50" s="4">
        <f t="shared" si="1"/>
        <v>2405.5920000000001</v>
      </c>
      <c r="J50" s="4" t="s">
        <v>183</v>
      </c>
      <c r="K50" s="4">
        <v>1</v>
      </c>
      <c r="L50" s="5" t="s">
        <v>247</v>
      </c>
    </row>
    <row r="51" spans="1:12" x14ac:dyDescent="0.25">
      <c r="A51" s="7" t="s">
        <v>186</v>
      </c>
      <c r="B51" s="4" t="s">
        <v>81</v>
      </c>
      <c r="C51" s="4">
        <v>69.7</v>
      </c>
      <c r="D51" s="4">
        <v>0.03</v>
      </c>
      <c r="E51" s="4">
        <v>0.2</v>
      </c>
      <c r="F51" s="6">
        <v>69.930000000000007</v>
      </c>
      <c r="G51" s="4">
        <v>34.4</v>
      </c>
      <c r="H51" s="4" t="s">
        <v>182</v>
      </c>
      <c r="I51" s="4">
        <f t="shared" si="1"/>
        <v>2405.5920000000001</v>
      </c>
      <c r="J51" s="4" t="s">
        <v>183</v>
      </c>
      <c r="K51" s="4">
        <v>1</v>
      </c>
      <c r="L51" s="5" t="s">
        <v>247</v>
      </c>
    </row>
    <row r="52" spans="1:12" x14ac:dyDescent="0.25">
      <c r="A52" s="7" t="s">
        <v>186</v>
      </c>
      <c r="B52" s="4" t="s">
        <v>82</v>
      </c>
      <c r="C52" s="4">
        <v>60.2</v>
      </c>
      <c r="D52" s="4">
        <v>0.2</v>
      </c>
      <c r="E52" s="4">
        <v>0.2</v>
      </c>
      <c r="F52" s="6">
        <v>60.6</v>
      </c>
      <c r="G52" s="4">
        <v>25.7</v>
      </c>
      <c r="H52" s="4" t="s">
        <v>182</v>
      </c>
      <c r="I52" s="4">
        <f t="shared" si="1"/>
        <v>1557.42</v>
      </c>
      <c r="J52" s="4" t="s">
        <v>183</v>
      </c>
      <c r="K52" s="4">
        <v>1</v>
      </c>
      <c r="L52" s="5" t="s">
        <v>247</v>
      </c>
    </row>
    <row r="53" spans="1:12" x14ac:dyDescent="0.25">
      <c r="A53" s="7" t="s">
        <v>186</v>
      </c>
      <c r="B53" s="4" t="s">
        <v>83</v>
      </c>
      <c r="C53" s="4">
        <v>69.8</v>
      </c>
      <c r="D53" s="4">
        <v>0.01</v>
      </c>
      <c r="E53" s="4">
        <v>0.01</v>
      </c>
      <c r="F53" s="6">
        <v>69.819999999999993</v>
      </c>
      <c r="G53" s="4">
        <v>31.4</v>
      </c>
      <c r="H53" s="4" t="s">
        <v>182</v>
      </c>
      <c r="I53" s="4">
        <f t="shared" si="1"/>
        <v>2192.3479999999995</v>
      </c>
      <c r="J53" s="4" t="s">
        <v>183</v>
      </c>
      <c r="K53" s="4">
        <v>1</v>
      </c>
      <c r="L53" s="5" t="s">
        <v>247</v>
      </c>
    </row>
    <row r="54" spans="1:12" x14ac:dyDescent="0.25">
      <c r="A54" s="7" t="s">
        <v>186</v>
      </c>
      <c r="B54" s="4" t="s">
        <v>89</v>
      </c>
      <c r="C54" s="4">
        <v>69.8</v>
      </c>
      <c r="D54" s="4">
        <v>0.02</v>
      </c>
      <c r="E54" s="4">
        <v>0.1</v>
      </c>
      <c r="F54" s="6">
        <v>69.92</v>
      </c>
      <c r="G54" s="4">
        <v>34.4</v>
      </c>
      <c r="H54" s="4" t="s">
        <v>182</v>
      </c>
      <c r="I54" s="4">
        <f t="shared" si="1"/>
        <v>2405.248</v>
      </c>
      <c r="J54" s="4" t="s">
        <v>183</v>
      </c>
      <c r="K54" s="4">
        <v>1</v>
      </c>
      <c r="L54" s="5" t="s">
        <v>247</v>
      </c>
    </row>
    <row r="55" spans="1:12" x14ac:dyDescent="0.25">
      <c r="A55" s="7" t="s">
        <v>186</v>
      </c>
      <c r="B55" s="4" t="s">
        <v>90</v>
      </c>
      <c r="C55" s="4">
        <v>0</v>
      </c>
      <c r="D55" s="4">
        <v>0.08</v>
      </c>
      <c r="E55" s="4">
        <v>0.2</v>
      </c>
      <c r="F55" s="6">
        <v>0.28000000000000003</v>
      </c>
      <c r="G55" s="4">
        <v>34.6</v>
      </c>
      <c r="H55" s="4" t="s">
        <v>182</v>
      </c>
      <c r="I55" s="4">
        <f t="shared" si="1"/>
        <v>9.6880000000000006</v>
      </c>
      <c r="J55" s="4" t="s">
        <v>183</v>
      </c>
      <c r="K55" s="4">
        <v>1</v>
      </c>
      <c r="L55" s="5" t="s">
        <v>247</v>
      </c>
    </row>
    <row r="56" spans="1:12" x14ac:dyDescent="0.25">
      <c r="A56" s="7" t="s">
        <v>186</v>
      </c>
      <c r="B56" s="4" t="s">
        <v>91</v>
      </c>
      <c r="C56" s="4">
        <v>0</v>
      </c>
      <c r="D56" s="4">
        <v>0.08</v>
      </c>
      <c r="E56" s="4">
        <v>0.2</v>
      </c>
      <c r="F56" s="6">
        <v>0.28000000000000003</v>
      </c>
      <c r="G56" s="4">
        <v>23.4</v>
      </c>
      <c r="H56" s="4" t="s">
        <v>182</v>
      </c>
      <c r="I56" s="4">
        <f t="shared" si="1"/>
        <v>6.5520000000000005</v>
      </c>
      <c r="J56" s="4" t="s">
        <v>183</v>
      </c>
      <c r="K56" s="4">
        <v>1</v>
      </c>
      <c r="L56" s="5" t="s">
        <v>247</v>
      </c>
    </row>
    <row r="57" spans="1:12" x14ac:dyDescent="0.25">
      <c r="A57" s="7" t="s">
        <v>186</v>
      </c>
      <c r="B57" s="4" t="s">
        <v>187</v>
      </c>
      <c r="C57" s="4">
        <v>0</v>
      </c>
      <c r="D57" s="4">
        <v>0.08</v>
      </c>
      <c r="E57" s="4">
        <v>0.2</v>
      </c>
      <c r="F57" s="6">
        <v>0.28000000000000003</v>
      </c>
      <c r="G57" s="4">
        <v>23.4</v>
      </c>
      <c r="H57" s="4" t="s">
        <v>182</v>
      </c>
      <c r="I57" s="4">
        <f t="shared" si="1"/>
        <v>6.5520000000000005</v>
      </c>
      <c r="J57" s="4" t="s">
        <v>183</v>
      </c>
      <c r="K57" s="4">
        <v>1</v>
      </c>
      <c r="L57" s="5" t="s">
        <v>247</v>
      </c>
    </row>
    <row r="58" spans="1:12" x14ac:dyDescent="0.25">
      <c r="A58" s="7" t="s">
        <v>186</v>
      </c>
      <c r="B58" s="4" t="s">
        <v>67</v>
      </c>
      <c r="C58" s="4">
        <v>69.599999999999994</v>
      </c>
      <c r="D58" s="4">
        <v>0.08</v>
      </c>
      <c r="E58" s="4">
        <v>0.2</v>
      </c>
      <c r="F58" s="6">
        <v>69.88</v>
      </c>
      <c r="G58" s="4">
        <v>45.3</v>
      </c>
      <c r="H58" s="4" t="s">
        <v>15</v>
      </c>
      <c r="I58" s="4">
        <f t="shared" si="1"/>
        <v>3165.5639999999994</v>
      </c>
      <c r="J58" s="4" t="s">
        <v>180</v>
      </c>
      <c r="K58" s="4">
        <v>1</v>
      </c>
      <c r="L58" s="5" t="s">
        <v>247</v>
      </c>
    </row>
    <row r="59" spans="1:12" x14ac:dyDescent="0.25">
      <c r="A59" s="7" t="s">
        <v>186</v>
      </c>
      <c r="B59" s="4" t="s">
        <v>69</v>
      </c>
      <c r="C59" s="4">
        <v>61</v>
      </c>
      <c r="D59" s="4">
        <v>0.08</v>
      </c>
      <c r="E59" s="4">
        <v>0.2</v>
      </c>
      <c r="F59" s="6">
        <v>61.28</v>
      </c>
      <c r="G59" s="4">
        <v>46.5</v>
      </c>
      <c r="H59" s="4" t="s">
        <v>15</v>
      </c>
      <c r="I59" s="4">
        <f t="shared" si="1"/>
        <v>2849.52</v>
      </c>
      <c r="J59" s="4" t="s">
        <v>180</v>
      </c>
      <c r="K59" s="4">
        <v>1</v>
      </c>
      <c r="L59" s="5" t="s">
        <v>247</v>
      </c>
    </row>
    <row r="60" spans="1:12" x14ac:dyDescent="0.25">
      <c r="A60" s="7" t="s">
        <v>186</v>
      </c>
      <c r="B60" s="4" t="s">
        <v>84</v>
      </c>
      <c r="C60" s="4">
        <v>92.6</v>
      </c>
      <c r="D60" s="4">
        <v>0.08</v>
      </c>
      <c r="E60" s="4">
        <v>0.2</v>
      </c>
      <c r="F60" s="6">
        <v>92.88</v>
      </c>
      <c r="G60" s="4">
        <v>34.200000000000003</v>
      </c>
      <c r="H60" s="4" t="s">
        <v>15</v>
      </c>
      <c r="I60" s="4">
        <f t="shared" si="1"/>
        <v>3176.4960000000001</v>
      </c>
      <c r="J60" s="4" t="s">
        <v>180</v>
      </c>
      <c r="K60" s="4">
        <v>1</v>
      </c>
      <c r="L60" s="5" t="s">
        <v>247</v>
      </c>
    </row>
    <row r="61" spans="1:12" x14ac:dyDescent="0.25">
      <c r="A61" s="7" t="s">
        <v>186</v>
      </c>
      <c r="B61" s="4" t="s">
        <v>86</v>
      </c>
      <c r="C61" s="4">
        <v>54.7</v>
      </c>
      <c r="D61" s="4">
        <v>0.03</v>
      </c>
      <c r="E61" s="4">
        <v>0.03</v>
      </c>
      <c r="F61" s="6">
        <v>54.76</v>
      </c>
      <c r="G61" s="4">
        <v>42.9</v>
      </c>
      <c r="H61" s="4" t="s">
        <v>15</v>
      </c>
      <c r="I61" s="4">
        <f t="shared" si="1"/>
        <v>2349.2039999999997</v>
      </c>
      <c r="J61" s="4" t="s">
        <v>180</v>
      </c>
      <c r="K61" s="4">
        <v>1</v>
      </c>
      <c r="L61" s="5" t="s">
        <v>247</v>
      </c>
    </row>
    <row r="62" spans="1:12" x14ac:dyDescent="0.25">
      <c r="A62" s="7" t="s">
        <v>186</v>
      </c>
      <c r="B62" s="4" t="s">
        <v>88</v>
      </c>
      <c r="C62" s="4">
        <v>92.6</v>
      </c>
      <c r="D62" s="4">
        <v>0.08</v>
      </c>
      <c r="E62" s="4">
        <v>0.2</v>
      </c>
      <c r="F62" s="6">
        <v>92.88</v>
      </c>
      <c r="G62" s="4">
        <v>34.200000000000003</v>
      </c>
      <c r="H62" s="4" t="s">
        <v>15</v>
      </c>
      <c r="I62" s="4">
        <f t="shared" si="1"/>
        <v>3176.4960000000001</v>
      </c>
      <c r="J62" s="4" t="s">
        <v>180</v>
      </c>
      <c r="K62" s="4">
        <v>1</v>
      </c>
      <c r="L62" s="5" t="s">
        <v>247</v>
      </c>
    </row>
    <row r="63" spans="1:12" x14ac:dyDescent="0.25">
      <c r="A63" s="7" t="s">
        <v>186</v>
      </c>
      <c r="B63" s="4" t="s">
        <v>93</v>
      </c>
      <c r="C63" s="4">
        <v>0</v>
      </c>
      <c r="D63" s="4">
        <v>0.02</v>
      </c>
      <c r="E63" s="4">
        <v>0.2</v>
      </c>
      <c r="F63" s="6">
        <v>0.22</v>
      </c>
      <c r="G63" s="4">
        <v>36.799999999999997</v>
      </c>
      <c r="H63" s="4" t="s">
        <v>15</v>
      </c>
      <c r="I63" s="4">
        <f t="shared" ref="I63:I64" si="3">G63*F63</f>
        <v>8.0960000000000001</v>
      </c>
      <c r="J63" s="4" t="s">
        <v>180</v>
      </c>
      <c r="K63" s="4">
        <v>1</v>
      </c>
      <c r="L63" s="5" t="s">
        <v>247</v>
      </c>
    </row>
    <row r="64" spans="1:12" x14ac:dyDescent="0.25">
      <c r="A64" s="7" t="s">
        <v>186</v>
      </c>
      <c r="B64" s="4" t="s">
        <v>94</v>
      </c>
      <c r="C64" s="4">
        <v>0</v>
      </c>
      <c r="D64" s="4">
        <v>0.1</v>
      </c>
      <c r="E64" s="4">
        <v>0.2</v>
      </c>
      <c r="F64" s="6">
        <v>0.3</v>
      </c>
      <c r="G64" s="4">
        <v>38.6</v>
      </c>
      <c r="H64" s="4" t="s">
        <v>15</v>
      </c>
      <c r="I64" s="4">
        <f t="shared" si="3"/>
        <v>11.58</v>
      </c>
      <c r="J64" s="4" t="s">
        <v>180</v>
      </c>
      <c r="K64" s="4">
        <v>1</v>
      </c>
      <c r="L64" s="5" t="s">
        <v>247</v>
      </c>
    </row>
    <row r="65" spans="1:12" x14ac:dyDescent="0.25">
      <c r="A65" s="7" t="s">
        <v>186</v>
      </c>
      <c r="B65" s="4" t="s">
        <v>188</v>
      </c>
      <c r="C65" s="4">
        <v>67.400000000000006</v>
      </c>
      <c r="D65" s="4" t="s">
        <v>98</v>
      </c>
      <c r="E65" s="4" t="s">
        <v>99</v>
      </c>
      <c r="F65" s="6">
        <v>67.62</v>
      </c>
      <c r="G65" s="4">
        <v>34.200000000000003</v>
      </c>
      <c r="H65" s="4" t="s">
        <v>182</v>
      </c>
      <c r="I65" s="4">
        <f t="shared" si="1"/>
        <v>2312.6040000000003</v>
      </c>
      <c r="J65" s="4" t="s">
        <v>183</v>
      </c>
      <c r="K65" s="4">
        <v>1</v>
      </c>
      <c r="L65" s="5" t="s">
        <v>261</v>
      </c>
    </row>
    <row r="66" spans="1:12" x14ac:dyDescent="0.25">
      <c r="A66" s="7" t="s">
        <v>186</v>
      </c>
      <c r="B66" s="4" t="s">
        <v>189</v>
      </c>
      <c r="C66" s="4">
        <v>69.900000000000006</v>
      </c>
      <c r="D66" s="4" t="s">
        <v>100</v>
      </c>
      <c r="E66" s="4" t="s">
        <v>101</v>
      </c>
      <c r="F66" s="6">
        <v>70.41</v>
      </c>
      <c r="G66" s="4">
        <v>38.6</v>
      </c>
      <c r="H66" s="4" t="s">
        <v>182</v>
      </c>
      <c r="I66" s="4">
        <f t="shared" si="1"/>
        <v>2717.826</v>
      </c>
      <c r="J66" s="4" t="s">
        <v>183</v>
      </c>
      <c r="K66" s="4">
        <v>1</v>
      </c>
      <c r="L66" s="5" t="s">
        <v>261</v>
      </c>
    </row>
    <row r="67" spans="1:12" x14ac:dyDescent="0.25">
      <c r="A67" s="7" t="s">
        <v>186</v>
      </c>
      <c r="B67" s="4" t="s">
        <v>190</v>
      </c>
      <c r="C67" s="4">
        <v>60.2</v>
      </c>
      <c r="D67" s="4" t="s">
        <v>101</v>
      </c>
      <c r="E67" s="4" t="s">
        <v>102</v>
      </c>
      <c r="F67" s="6">
        <v>61</v>
      </c>
      <c r="G67" s="4">
        <v>26.2</v>
      </c>
      <c r="H67" s="4" t="s">
        <v>182</v>
      </c>
      <c r="I67" s="4">
        <f t="shared" si="1"/>
        <v>1598.2</v>
      </c>
      <c r="J67" s="4" t="s">
        <v>183</v>
      </c>
      <c r="K67" s="4">
        <v>1</v>
      </c>
      <c r="L67" s="5" t="s">
        <v>261</v>
      </c>
    </row>
    <row r="68" spans="1:12" x14ac:dyDescent="0.25">
      <c r="A68" s="7" t="s">
        <v>186</v>
      </c>
      <c r="B68" s="4" t="s">
        <v>191</v>
      </c>
      <c r="C68" s="4">
        <v>73.599999999999994</v>
      </c>
      <c r="D68" s="4">
        <v>0.08</v>
      </c>
      <c r="E68" s="4">
        <v>0.5</v>
      </c>
      <c r="F68" s="6">
        <v>74.180000000000007</v>
      </c>
      <c r="G68" s="4">
        <v>39.700000000000003</v>
      </c>
      <c r="H68" s="4" t="s">
        <v>182</v>
      </c>
      <c r="I68" s="4">
        <f t="shared" si="1"/>
        <v>2944.9460000000004</v>
      </c>
      <c r="J68" s="4" t="s">
        <v>183</v>
      </c>
      <c r="K68" s="4">
        <v>1</v>
      </c>
      <c r="L68" s="5" t="s">
        <v>261</v>
      </c>
    </row>
    <row r="69" spans="1:12" x14ac:dyDescent="0.25">
      <c r="A69" s="7" t="s">
        <v>186</v>
      </c>
      <c r="B69" s="4" t="s">
        <v>192</v>
      </c>
      <c r="C69" s="4">
        <v>0</v>
      </c>
      <c r="D69" s="4" t="s">
        <v>99</v>
      </c>
      <c r="E69" s="4" t="s">
        <v>99</v>
      </c>
      <c r="F69" s="6">
        <v>0.4</v>
      </c>
      <c r="G69" s="4">
        <v>23.4</v>
      </c>
      <c r="H69" s="4" t="s">
        <v>182</v>
      </c>
      <c r="I69" s="4">
        <f t="shared" si="1"/>
        <v>9.36</v>
      </c>
      <c r="J69" s="4" t="s">
        <v>183</v>
      </c>
      <c r="K69" s="4">
        <v>1</v>
      </c>
      <c r="L69" s="5" t="s">
        <v>261</v>
      </c>
    </row>
    <row r="70" spans="1:12" x14ac:dyDescent="0.25">
      <c r="A70" s="7" t="s">
        <v>186</v>
      </c>
      <c r="B70" s="4" t="s">
        <v>193</v>
      </c>
      <c r="C70" s="4">
        <v>0</v>
      </c>
      <c r="D70" s="4">
        <v>0.8</v>
      </c>
      <c r="E70" s="4">
        <v>1.7</v>
      </c>
      <c r="F70" s="6">
        <v>2.5</v>
      </c>
      <c r="G70" s="4">
        <v>34.6</v>
      </c>
      <c r="H70" s="4" t="s">
        <v>182</v>
      </c>
      <c r="I70" s="4">
        <f t="shared" si="1"/>
        <v>86.5</v>
      </c>
      <c r="J70" s="4" t="s">
        <v>183</v>
      </c>
      <c r="K70" s="4">
        <v>1</v>
      </c>
      <c r="L70" s="5" t="s">
        <v>261</v>
      </c>
    </row>
    <row r="71" spans="1:12" x14ac:dyDescent="0.25">
      <c r="A71" s="7" t="s">
        <v>186</v>
      </c>
      <c r="B71" s="4" t="s">
        <v>194</v>
      </c>
      <c r="C71" s="4">
        <v>0</v>
      </c>
      <c r="D71" s="4">
        <v>0.8</v>
      </c>
      <c r="E71" s="4">
        <v>1.7</v>
      </c>
      <c r="F71" s="6">
        <v>2.5</v>
      </c>
      <c r="G71" s="4">
        <v>23.4</v>
      </c>
      <c r="H71" s="4" t="s">
        <v>182</v>
      </c>
      <c r="I71" s="4">
        <f t="shared" si="1"/>
        <v>58.5</v>
      </c>
      <c r="J71" s="4" t="s">
        <v>183</v>
      </c>
      <c r="K71" s="4">
        <v>1</v>
      </c>
      <c r="L71" s="5" t="s">
        <v>261</v>
      </c>
    </row>
    <row r="72" spans="1:12" x14ac:dyDescent="0.25">
      <c r="A72" s="7" t="s">
        <v>186</v>
      </c>
      <c r="B72" s="4" t="s">
        <v>195</v>
      </c>
      <c r="C72" s="4">
        <v>51.4</v>
      </c>
      <c r="D72" s="4">
        <v>7.3</v>
      </c>
      <c r="E72" s="4">
        <v>0.3</v>
      </c>
      <c r="F72" s="6">
        <v>59</v>
      </c>
      <c r="G72" s="4">
        <v>25.3</v>
      </c>
      <c r="H72" s="4" t="s">
        <v>182</v>
      </c>
      <c r="I72" s="4">
        <f t="shared" ref="I72:I81" si="4">G72*F72</f>
        <v>1492.7</v>
      </c>
      <c r="J72" s="4" t="s">
        <v>183</v>
      </c>
      <c r="K72" s="4">
        <v>1</v>
      </c>
      <c r="L72" s="5" t="s">
        <v>261</v>
      </c>
    </row>
    <row r="73" spans="1:12" x14ac:dyDescent="0.25">
      <c r="A73" s="7" t="s">
        <v>186</v>
      </c>
      <c r="B73" s="4" t="s">
        <v>196</v>
      </c>
      <c r="C73" s="4">
        <v>51.4</v>
      </c>
      <c r="D73" s="4">
        <v>2.8</v>
      </c>
      <c r="E73" s="4">
        <v>0.3</v>
      </c>
      <c r="F73" s="6">
        <v>54.5</v>
      </c>
      <c r="G73" s="4">
        <v>25.3</v>
      </c>
      <c r="H73" s="4" t="s">
        <v>182</v>
      </c>
      <c r="I73" s="4">
        <f t="shared" si="4"/>
        <v>1378.8500000000001</v>
      </c>
      <c r="J73" s="4" t="s">
        <v>183</v>
      </c>
      <c r="K73" s="4">
        <v>1</v>
      </c>
      <c r="L73" s="5" t="s">
        <v>261</v>
      </c>
    </row>
    <row r="74" spans="1:12" x14ac:dyDescent="0.25">
      <c r="A74" s="7" t="s">
        <v>186</v>
      </c>
      <c r="B74" s="4" t="s">
        <v>197</v>
      </c>
      <c r="C74" s="4">
        <v>69.900000000000006</v>
      </c>
      <c r="D74" s="4">
        <v>7.0000000000000007E-2</v>
      </c>
      <c r="E74" s="4">
        <v>0.4</v>
      </c>
      <c r="F74" s="6">
        <v>70.37</v>
      </c>
      <c r="G74" s="4">
        <v>38.6</v>
      </c>
      <c r="H74" s="4" t="s">
        <v>182</v>
      </c>
      <c r="I74" s="4">
        <f t="shared" si="4"/>
        <v>2716.2820000000002</v>
      </c>
      <c r="J74" s="4" t="s">
        <v>183</v>
      </c>
      <c r="K74" s="4">
        <v>1</v>
      </c>
      <c r="L74" s="5" t="s">
        <v>261</v>
      </c>
    </row>
    <row r="75" spans="1:12" x14ac:dyDescent="0.25">
      <c r="A75" s="7" t="s">
        <v>186</v>
      </c>
      <c r="B75" s="4" t="s">
        <v>198</v>
      </c>
      <c r="C75" s="4">
        <v>69.900000000000006</v>
      </c>
      <c r="D75" s="4">
        <v>0.1</v>
      </c>
      <c r="E75" s="4">
        <v>0.4</v>
      </c>
      <c r="F75" s="6">
        <v>70.400000000000006</v>
      </c>
      <c r="G75" s="4">
        <v>38.6</v>
      </c>
      <c r="H75" s="4" t="s">
        <v>182</v>
      </c>
      <c r="I75" s="4">
        <f t="shared" si="4"/>
        <v>2717.4400000000005</v>
      </c>
      <c r="J75" s="4" t="s">
        <v>183</v>
      </c>
      <c r="K75" s="4">
        <v>1</v>
      </c>
      <c r="L75" s="5" t="s">
        <v>261</v>
      </c>
    </row>
    <row r="76" spans="1:12" x14ac:dyDescent="0.25">
      <c r="A76" s="7" t="s">
        <v>186</v>
      </c>
      <c r="B76" s="4" t="s">
        <v>199</v>
      </c>
      <c r="C76" s="4">
        <v>69.900000000000006</v>
      </c>
      <c r="D76" s="4">
        <v>0.2</v>
      </c>
      <c r="E76" s="4">
        <v>0.4</v>
      </c>
      <c r="F76" s="6">
        <v>70.5</v>
      </c>
      <c r="G76" s="4">
        <v>38.6</v>
      </c>
      <c r="H76" s="4" t="s">
        <v>182</v>
      </c>
      <c r="I76" s="4">
        <f t="shared" si="4"/>
        <v>2721.3</v>
      </c>
      <c r="J76" s="4" t="s">
        <v>183</v>
      </c>
      <c r="K76" s="4">
        <v>1</v>
      </c>
      <c r="L76" s="5" t="s">
        <v>261</v>
      </c>
    </row>
    <row r="77" spans="1:12" x14ac:dyDescent="0.25">
      <c r="A77" s="7" t="s">
        <v>186</v>
      </c>
      <c r="B77" s="4" t="s">
        <v>200</v>
      </c>
      <c r="C77" s="4">
        <v>67</v>
      </c>
      <c r="D77" s="4">
        <v>0.06</v>
      </c>
      <c r="E77" s="4">
        <v>0.6</v>
      </c>
      <c r="F77" s="6">
        <v>67.66</v>
      </c>
      <c r="G77" s="4">
        <v>33.1</v>
      </c>
      <c r="H77" s="4" t="s">
        <v>182</v>
      </c>
      <c r="I77" s="4">
        <f t="shared" si="4"/>
        <v>2239.5459999999998</v>
      </c>
      <c r="J77" s="4" t="s">
        <v>183</v>
      </c>
      <c r="K77" s="4">
        <v>1</v>
      </c>
      <c r="L77" s="5" t="s">
        <v>261</v>
      </c>
    </row>
    <row r="78" spans="1:12" x14ac:dyDescent="0.25">
      <c r="A78" s="7" t="s">
        <v>186</v>
      </c>
      <c r="B78" s="4" t="s">
        <v>201</v>
      </c>
      <c r="C78" s="4">
        <v>69.599999999999994</v>
      </c>
      <c r="D78" s="4">
        <v>0.01</v>
      </c>
      <c r="E78" s="4">
        <v>0.6</v>
      </c>
      <c r="F78" s="6">
        <v>70.209999999999994</v>
      </c>
      <c r="G78" s="4">
        <v>36.799999999999997</v>
      </c>
      <c r="H78" s="4" t="s">
        <v>182</v>
      </c>
      <c r="I78" s="4">
        <f t="shared" si="4"/>
        <v>2583.7279999999996</v>
      </c>
      <c r="J78" s="4" t="s">
        <v>183</v>
      </c>
      <c r="K78" s="4">
        <v>1</v>
      </c>
      <c r="L78" s="5" t="s">
        <v>261</v>
      </c>
    </row>
    <row r="79" spans="1:12" x14ac:dyDescent="0.25">
      <c r="A79" s="7" t="s">
        <v>186</v>
      </c>
      <c r="B79" s="4" t="s">
        <v>93</v>
      </c>
      <c r="C79" s="4">
        <v>0</v>
      </c>
      <c r="D79" s="4">
        <v>0.01</v>
      </c>
      <c r="E79" s="4">
        <v>0.6</v>
      </c>
      <c r="F79" s="6">
        <v>0.61</v>
      </c>
      <c r="G79" s="4">
        <v>36.799999999999997</v>
      </c>
      <c r="H79" s="4" t="s">
        <v>182</v>
      </c>
      <c r="I79" s="4">
        <f t="shared" ref="I79" si="5">G79*F79</f>
        <v>22.447999999999997</v>
      </c>
      <c r="J79" s="4" t="s">
        <v>183</v>
      </c>
      <c r="K79" s="4">
        <v>1</v>
      </c>
      <c r="L79" s="5" t="s">
        <v>261</v>
      </c>
    </row>
    <row r="80" spans="1:12" x14ac:dyDescent="0.25">
      <c r="A80" s="7" t="s">
        <v>186</v>
      </c>
      <c r="B80" s="4" t="s">
        <v>202</v>
      </c>
      <c r="C80" s="4">
        <v>51.4</v>
      </c>
      <c r="D80" s="4">
        <v>7.3</v>
      </c>
      <c r="E80" s="4">
        <v>0.3</v>
      </c>
      <c r="F80" s="6">
        <v>59</v>
      </c>
      <c r="G80" s="4">
        <v>3.9300000000000002E-2</v>
      </c>
      <c r="H80" s="4" t="s">
        <v>184</v>
      </c>
      <c r="I80" s="4">
        <f t="shared" si="4"/>
        <v>2.3187000000000002</v>
      </c>
      <c r="J80" s="4" t="s">
        <v>185</v>
      </c>
      <c r="K80" s="4">
        <v>1</v>
      </c>
      <c r="L80" s="5" t="s">
        <v>261</v>
      </c>
    </row>
    <row r="81" spans="1:12" x14ac:dyDescent="0.25">
      <c r="A81" s="7" t="s">
        <v>186</v>
      </c>
      <c r="B81" s="4" t="s">
        <v>203</v>
      </c>
      <c r="C81" s="4">
        <v>51.4</v>
      </c>
      <c r="D81" s="4">
        <v>2.8</v>
      </c>
      <c r="E81" s="4">
        <v>0.3</v>
      </c>
      <c r="F81" s="6">
        <v>54.5</v>
      </c>
      <c r="G81" s="4">
        <v>3.9300000000000002E-2</v>
      </c>
      <c r="H81" s="4" t="s">
        <v>184</v>
      </c>
      <c r="I81" s="4">
        <f t="shared" si="4"/>
        <v>2.1418500000000003</v>
      </c>
      <c r="J81" s="4" t="s">
        <v>185</v>
      </c>
      <c r="K81" s="4">
        <v>1</v>
      </c>
      <c r="L81" s="5" t="s">
        <v>261</v>
      </c>
    </row>
  </sheetData>
  <mergeCells count="9">
    <mergeCell ref="C3:F3"/>
    <mergeCell ref="G3:H3"/>
    <mergeCell ref="I3:J3"/>
    <mergeCell ref="C1:F1"/>
    <mergeCell ref="G1:H1"/>
    <mergeCell ref="I1:J1"/>
    <mergeCell ref="C2:F2"/>
    <mergeCell ref="G2:H2"/>
    <mergeCell ref="I2:J2"/>
  </mergeCells>
  <pageMargins left="0.7" right="0.7" top="0.75" bottom="0.75" header="0.3" footer="0.3"/>
  <pageSetup paperSize="9" orientation="portrait" horizontalDpi="300" verticalDpi="300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0"/>
  <sheetViews>
    <sheetView workbookViewId="0">
      <selection activeCell="I1" sqref="I1"/>
    </sheetView>
  </sheetViews>
  <sheetFormatPr defaultRowHeight="15" x14ac:dyDescent="0.25"/>
  <cols>
    <col min="1" max="1" width="11.28515625" bestFit="1" customWidth="1"/>
    <col min="2" max="2" width="37.140625" bestFit="1" customWidth="1"/>
    <col min="3" max="3" width="33.42578125" style="14" bestFit="1" customWidth="1"/>
    <col min="4" max="4" width="5.28515625" bestFit="1" customWidth="1"/>
    <col min="5" max="5" width="6.7109375" bestFit="1" customWidth="1"/>
    <col min="6" max="6" width="8" bestFit="1" customWidth="1"/>
    <col min="7" max="7" width="9.7109375" bestFit="1" customWidth="1"/>
    <col min="8" max="8" width="8.5703125" bestFit="1" customWidth="1"/>
    <col min="9" max="9" width="95" bestFit="1" customWidth="1"/>
  </cols>
  <sheetData>
    <row r="1" spans="1:9" x14ac:dyDescent="0.25">
      <c r="A1" s="21"/>
      <c r="B1" s="21"/>
      <c r="C1" s="25" t="s">
        <v>63</v>
      </c>
      <c r="D1" s="80" t="s">
        <v>38</v>
      </c>
      <c r="E1" s="81"/>
      <c r="F1" s="82" t="s">
        <v>63</v>
      </c>
      <c r="G1" s="82"/>
      <c r="H1" s="13"/>
      <c r="I1" s="13"/>
    </row>
    <row r="2" spans="1:9" x14ac:dyDescent="0.25">
      <c r="A2" s="21"/>
      <c r="B2" s="21"/>
      <c r="C2" s="25" t="s">
        <v>164</v>
      </c>
      <c r="D2" s="80" t="s">
        <v>165</v>
      </c>
      <c r="E2" s="81"/>
      <c r="F2" s="82" t="s">
        <v>166</v>
      </c>
      <c r="G2" s="82"/>
      <c r="H2" s="13"/>
      <c r="I2" s="21"/>
    </row>
    <row r="3" spans="1:9" x14ac:dyDescent="0.25">
      <c r="A3" s="21"/>
      <c r="B3" s="21"/>
      <c r="C3" s="25" t="s">
        <v>167</v>
      </c>
      <c r="D3" s="80" t="s">
        <v>168</v>
      </c>
      <c r="E3" s="81"/>
      <c r="F3" s="82" t="s">
        <v>167</v>
      </c>
      <c r="G3" s="82"/>
      <c r="H3" s="13"/>
      <c r="I3" s="21"/>
    </row>
    <row r="4" spans="1:9" x14ac:dyDescent="0.25">
      <c r="A4" s="21" t="s">
        <v>169</v>
      </c>
      <c r="B4" s="21" t="s">
        <v>170</v>
      </c>
      <c r="C4" s="24" t="s">
        <v>204</v>
      </c>
      <c r="D4" s="23" t="s">
        <v>175</v>
      </c>
      <c r="E4" s="21" t="s">
        <v>176</v>
      </c>
      <c r="F4" s="22" t="s">
        <v>177</v>
      </c>
      <c r="G4" s="21" t="s">
        <v>176</v>
      </c>
      <c r="H4" s="21" t="s">
        <v>178</v>
      </c>
      <c r="I4" s="21" t="s">
        <v>136</v>
      </c>
    </row>
    <row r="5" spans="1:9" x14ac:dyDescent="0.25">
      <c r="A5" s="20" t="s">
        <v>179</v>
      </c>
      <c r="B5" s="19" t="s">
        <v>21</v>
      </c>
      <c r="C5" s="18">
        <v>6.4</v>
      </c>
      <c r="D5" s="17">
        <v>30</v>
      </c>
      <c r="E5" s="16" t="s">
        <v>15</v>
      </c>
      <c r="F5" s="16">
        <v>192</v>
      </c>
      <c r="G5" s="16" t="s">
        <v>180</v>
      </c>
      <c r="H5" s="16">
        <v>3</v>
      </c>
      <c r="I5" s="15" t="s">
        <v>229</v>
      </c>
    </row>
    <row r="6" spans="1:9" x14ac:dyDescent="0.25">
      <c r="A6" s="20" t="s">
        <v>179</v>
      </c>
      <c r="B6" s="19" t="s">
        <v>16</v>
      </c>
      <c r="C6" s="18">
        <v>3</v>
      </c>
      <c r="D6" s="17">
        <v>27</v>
      </c>
      <c r="E6" s="16" t="s">
        <v>15</v>
      </c>
      <c r="F6" s="16">
        <v>81</v>
      </c>
      <c r="G6" s="16" t="s">
        <v>180</v>
      </c>
      <c r="H6" s="16">
        <v>3</v>
      </c>
      <c r="I6" s="15" t="s">
        <v>229</v>
      </c>
    </row>
    <row r="7" spans="1:9" x14ac:dyDescent="0.25">
      <c r="A7" s="20" t="s">
        <v>179</v>
      </c>
      <c r="B7" s="19" t="s">
        <v>17</v>
      </c>
      <c r="C7" s="18">
        <v>2.5</v>
      </c>
      <c r="D7" s="17">
        <v>21</v>
      </c>
      <c r="E7" s="16" t="s">
        <v>15</v>
      </c>
      <c r="F7" s="16">
        <v>52.5</v>
      </c>
      <c r="G7" s="16" t="s">
        <v>180</v>
      </c>
      <c r="H7" s="16">
        <v>3</v>
      </c>
      <c r="I7" s="15" t="s">
        <v>229</v>
      </c>
    </row>
    <row r="8" spans="1:9" x14ac:dyDescent="0.25">
      <c r="A8" s="20" t="s">
        <v>179</v>
      </c>
      <c r="B8" s="19" t="s">
        <v>20</v>
      </c>
      <c r="C8" s="18">
        <v>0.4</v>
      </c>
      <c r="D8" s="17">
        <v>10.199999999999999</v>
      </c>
      <c r="E8" s="16" t="s">
        <v>15</v>
      </c>
      <c r="F8" s="16">
        <v>4.08</v>
      </c>
      <c r="G8" s="16" t="s">
        <v>180</v>
      </c>
      <c r="H8" s="16">
        <v>3</v>
      </c>
      <c r="I8" s="15" t="s">
        <v>229</v>
      </c>
    </row>
    <row r="9" spans="1:9" x14ac:dyDescent="0.25">
      <c r="A9" s="20" t="s">
        <v>181</v>
      </c>
      <c r="B9" s="19" t="s">
        <v>205</v>
      </c>
      <c r="C9" s="18">
        <v>14</v>
      </c>
      <c r="D9" s="4">
        <v>3.9300000000000002E-2</v>
      </c>
      <c r="E9" s="4" t="s">
        <v>184</v>
      </c>
      <c r="F9" s="16">
        <v>0.55020000000000002</v>
      </c>
      <c r="G9" s="4" t="s">
        <v>185</v>
      </c>
      <c r="H9" s="16">
        <v>3</v>
      </c>
      <c r="I9" s="15" t="s">
        <v>242</v>
      </c>
    </row>
    <row r="10" spans="1:9" x14ac:dyDescent="0.25">
      <c r="A10" s="20" t="s">
        <v>181</v>
      </c>
      <c r="B10" s="19" t="s">
        <v>206</v>
      </c>
      <c r="C10" s="18">
        <v>13.1</v>
      </c>
      <c r="D10" s="4">
        <v>3.9300000000000002E-2</v>
      </c>
      <c r="E10" s="4" t="s">
        <v>184</v>
      </c>
      <c r="F10" s="16">
        <v>0.51483000000000001</v>
      </c>
      <c r="G10" s="4" t="s">
        <v>185</v>
      </c>
      <c r="H10" s="16">
        <v>3</v>
      </c>
      <c r="I10" s="15" t="s">
        <v>242</v>
      </c>
    </row>
    <row r="11" spans="1:9" x14ac:dyDescent="0.25">
      <c r="A11" s="20" t="s">
        <v>181</v>
      </c>
      <c r="B11" s="19" t="s">
        <v>207</v>
      </c>
      <c r="C11" s="18">
        <v>10.7</v>
      </c>
      <c r="D11" s="4">
        <v>3.9300000000000002E-2</v>
      </c>
      <c r="E11" s="4" t="s">
        <v>184</v>
      </c>
      <c r="F11" s="16">
        <v>0.42050999999999999</v>
      </c>
      <c r="G11" s="4" t="s">
        <v>185</v>
      </c>
      <c r="H11" s="16">
        <v>3</v>
      </c>
      <c r="I11" s="15" t="s">
        <v>242</v>
      </c>
    </row>
    <row r="12" spans="1:9" x14ac:dyDescent="0.25">
      <c r="A12" s="20" t="s">
        <v>181</v>
      </c>
      <c r="B12" s="19" t="s">
        <v>208</v>
      </c>
      <c r="C12" s="18">
        <v>10.6</v>
      </c>
      <c r="D12" s="4">
        <v>3.9300000000000002E-2</v>
      </c>
      <c r="E12" s="4" t="s">
        <v>184</v>
      </c>
      <c r="F12" s="16">
        <v>0.41658000000000001</v>
      </c>
      <c r="G12" s="4" t="s">
        <v>185</v>
      </c>
      <c r="H12" s="16">
        <v>3</v>
      </c>
      <c r="I12" s="15" t="s">
        <v>242</v>
      </c>
    </row>
    <row r="13" spans="1:9" x14ac:dyDescent="0.25">
      <c r="A13" s="20" t="s">
        <v>181</v>
      </c>
      <c r="B13" s="19" t="s">
        <v>209</v>
      </c>
      <c r="C13" s="18">
        <v>8.8000000000000007</v>
      </c>
      <c r="D13" s="4">
        <v>3.9300000000000002E-2</v>
      </c>
      <c r="E13" s="4" t="s">
        <v>184</v>
      </c>
      <c r="F13" s="16">
        <v>0.34584000000000004</v>
      </c>
      <c r="G13" s="4" t="s">
        <v>185</v>
      </c>
      <c r="H13" s="16">
        <v>3</v>
      </c>
      <c r="I13" s="15" t="s">
        <v>242</v>
      </c>
    </row>
    <row r="14" spans="1:9" x14ac:dyDescent="0.25">
      <c r="A14" s="20" t="s">
        <v>181</v>
      </c>
      <c r="B14" s="19" t="s">
        <v>210</v>
      </c>
      <c r="C14" s="18">
        <v>7.9</v>
      </c>
      <c r="D14" s="4">
        <v>3.9300000000000002E-2</v>
      </c>
      <c r="E14" s="4" t="s">
        <v>184</v>
      </c>
      <c r="F14" s="16">
        <v>0.31047000000000002</v>
      </c>
      <c r="G14" s="4" t="s">
        <v>185</v>
      </c>
      <c r="H14" s="16">
        <v>3</v>
      </c>
      <c r="I14" s="15" t="s">
        <v>242</v>
      </c>
    </row>
    <row r="15" spans="1:9" x14ac:dyDescent="0.25">
      <c r="A15" s="20" t="s">
        <v>181</v>
      </c>
      <c r="B15" s="19" t="s">
        <v>211</v>
      </c>
      <c r="C15" s="18">
        <v>4.0999999999999996</v>
      </c>
      <c r="D15" s="4">
        <v>3.9300000000000002E-2</v>
      </c>
      <c r="E15" s="4" t="s">
        <v>184</v>
      </c>
      <c r="F15" s="16">
        <v>0.16113</v>
      </c>
      <c r="G15" s="4" t="s">
        <v>185</v>
      </c>
      <c r="H15" s="16">
        <v>3</v>
      </c>
      <c r="I15" s="15" t="s">
        <v>242</v>
      </c>
    </row>
    <row r="16" spans="1:9" x14ac:dyDescent="0.25">
      <c r="A16" s="20" t="s">
        <v>181</v>
      </c>
      <c r="B16" s="19" t="s">
        <v>212</v>
      </c>
      <c r="C16" s="18">
        <v>4</v>
      </c>
      <c r="D16" s="4">
        <v>3.9300000000000002E-2</v>
      </c>
      <c r="E16" s="4" t="s">
        <v>184</v>
      </c>
      <c r="F16" s="16">
        <v>0.15720000000000001</v>
      </c>
      <c r="G16" s="4" t="s">
        <v>185</v>
      </c>
      <c r="H16" s="16">
        <v>3</v>
      </c>
      <c r="I16" s="15" t="s">
        <v>242</v>
      </c>
    </row>
    <row r="17" spans="1:9" x14ac:dyDescent="0.25">
      <c r="A17" s="20" t="s">
        <v>181</v>
      </c>
      <c r="B17" s="19" t="s">
        <v>213</v>
      </c>
      <c r="C17" s="18">
        <v>4</v>
      </c>
      <c r="D17" s="4">
        <v>3.9300000000000002E-2</v>
      </c>
      <c r="E17" s="4" t="s">
        <v>184</v>
      </c>
      <c r="F17" s="16">
        <v>0.15720000000000001</v>
      </c>
      <c r="G17" s="4" t="s">
        <v>185</v>
      </c>
      <c r="H17" s="16">
        <v>3</v>
      </c>
      <c r="I17" s="15" t="s">
        <v>242</v>
      </c>
    </row>
    <row r="18" spans="1:9" x14ac:dyDescent="0.25">
      <c r="A18" s="20" t="s">
        <v>181</v>
      </c>
      <c r="B18" s="19" t="s">
        <v>214</v>
      </c>
      <c r="C18" s="18">
        <v>4</v>
      </c>
      <c r="D18" s="4">
        <v>3.9300000000000002E-2</v>
      </c>
      <c r="E18" s="4" t="s">
        <v>184</v>
      </c>
      <c r="F18" s="16">
        <v>0.15720000000000001</v>
      </c>
      <c r="G18" s="4" t="s">
        <v>185</v>
      </c>
      <c r="H18" s="16">
        <v>3</v>
      </c>
      <c r="I18" s="15" t="s">
        <v>242</v>
      </c>
    </row>
    <row r="19" spans="1:9" x14ac:dyDescent="0.25">
      <c r="A19" s="20" t="s">
        <v>181</v>
      </c>
      <c r="B19" s="19" t="s">
        <v>215</v>
      </c>
      <c r="C19" s="18">
        <v>23.7</v>
      </c>
      <c r="D19" s="4">
        <v>6.2899999999999998E-2</v>
      </c>
      <c r="E19" s="4" t="s">
        <v>184</v>
      </c>
      <c r="F19" s="16">
        <v>1.4907299999999999</v>
      </c>
      <c r="G19" s="4" t="s">
        <v>185</v>
      </c>
      <c r="H19" s="16">
        <v>3</v>
      </c>
      <c r="I19" s="15" t="s">
        <v>245</v>
      </c>
    </row>
    <row r="20" spans="1:9" x14ac:dyDescent="0.25">
      <c r="A20" s="20" t="s">
        <v>181</v>
      </c>
      <c r="B20" s="19" t="s">
        <v>216</v>
      </c>
      <c r="C20" s="18">
        <v>5.7</v>
      </c>
      <c r="D20" s="4">
        <v>6.2899999999999998E-2</v>
      </c>
      <c r="E20" s="4" t="s">
        <v>184</v>
      </c>
      <c r="F20" s="16">
        <v>0.35853000000000002</v>
      </c>
      <c r="G20" s="4" t="s">
        <v>185</v>
      </c>
      <c r="H20" s="16">
        <v>3</v>
      </c>
      <c r="I20" s="15" t="s">
        <v>245</v>
      </c>
    </row>
    <row r="21" spans="1:9" x14ac:dyDescent="0.25">
      <c r="A21" s="20" t="s">
        <v>186</v>
      </c>
      <c r="B21" s="19" t="s">
        <v>82</v>
      </c>
      <c r="C21" s="18">
        <v>20.2</v>
      </c>
      <c r="D21" s="17">
        <v>25.7</v>
      </c>
      <c r="E21" s="16" t="s">
        <v>182</v>
      </c>
      <c r="F21" s="16">
        <v>519.14</v>
      </c>
      <c r="G21" s="4" t="s">
        <v>183</v>
      </c>
      <c r="H21" s="16">
        <v>3</v>
      </c>
      <c r="I21" s="15" t="s">
        <v>247</v>
      </c>
    </row>
    <row r="22" spans="1:9" x14ac:dyDescent="0.25">
      <c r="A22" s="20" t="s">
        <v>186</v>
      </c>
      <c r="B22" s="19" t="s">
        <v>65</v>
      </c>
      <c r="C22" s="18">
        <v>18</v>
      </c>
      <c r="D22" s="17">
        <v>38.799999999999997</v>
      </c>
      <c r="E22" s="16" t="s">
        <v>182</v>
      </c>
      <c r="F22" s="16">
        <v>698.4</v>
      </c>
      <c r="G22" s="4" t="s">
        <v>183</v>
      </c>
      <c r="H22" s="16">
        <v>3</v>
      </c>
      <c r="I22" s="15" t="s">
        <v>247</v>
      </c>
    </row>
    <row r="23" spans="1:9" x14ac:dyDescent="0.25">
      <c r="A23" s="20" t="s">
        <v>186</v>
      </c>
      <c r="B23" s="19" t="s">
        <v>66</v>
      </c>
      <c r="C23" s="18">
        <v>18</v>
      </c>
      <c r="D23" s="17">
        <v>38.799999999999997</v>
      </c>
      <c r="E23" s="16" t="s">
        <v>182</v>
      </c>
      <c r="F23" s="16">
        <v>698.4</v>
      </c>
      <c r="G23" s="4" t="s">
        <v>183</v>
      </c>
      <c r="H23" s="16">
        <v>3</v>
      </c>
      <c r="I23" s="15" t="s">
        <v>247</v>
      </c>
    </row>
    <row r="24" spans="1:9" x14ac:dyDescent="0.25">
      <c r="A24" s="20" t="s">
        <v>186</v>
      </c>
      <c r="B24" s="19" t="s">
        <v>72</v>
      </c>
      <c r="C24" s="18">
        <v>18</v>
      </c>
      <c r="D24" s="17">
        <v>33.1</v>
      </c>
      <c r="E24" s="16" t="s">
        <v>182</v>
      </c>
      <c r="F24" s="16">
        <v>595.80000000000007</v>
      </c>
      <c r="G24" s="4" t="s">
        <v>183</v>
      </c>
      <c r="H24" s="16">
        <v>3</v>
      </c>
      <c r="I24" s="15" t="s">
        <v>247</v>
      </c>
    </row>
    <row r="25" spans="1:9" x14ac:dyDescent="0.25">
      <c r="A25" s="20" t="s">
        <v>186</v>
      </c>
      <c r="B25" s="19" t="s">
        <v>73</v>
      </c>
      <c r="C25" s="18">
        <v>18</v>
      </c>
      <c r="D25" s="17">
        <v>37.5</v>
      </c>
      <c r="E25" s="16" t="s">
        <v>182</v>
      </c>
      <c r="F25" s="16">
        <v>675</v>
      </c>
      <c r="G25" s="4" t="s">
        <v>183</v>
      </c>
      <c r="H25" s="16">
        <v>3</v>
      </c>
      <c r="I25" s="15" t="s">
        <v>247</v>
      </c>
    </row>
    <row r="26" spans="1:9" x14ac:dyDescent="0.25">
      <c r="A26" s="20" t="s">
        <v>186</v>
      </c>
      <c r="B26" s="19" t="s">
        <v>74</v>
      </c>
      <c r="C26" s="18">
        <v>18</v>
      </c>
      <c r="D26" s="17">
        <v>36.799999999999997</v>
      </c>
      <c r="E26" s="16" t="s">
        <v>182</v>
      </c>
      <c r="F26" s="16">
        <v>662.4</v>
      </c>
      <c r="G26" s="4" t="s">
        <v>183</v>
      </c>
      <c r="H26" s="16">
        <v>3</v>
      </c>
      <c r="I26" s="15" t="s">
        <v>247</v>
      </c>
    </row>
    <row r="27" spans="1:9" x14ac:dyDescent="0.25">
      <c r="A27" s="20" t="s">
        <v>186</v>
      </c>
      <c r="B27" s="19" t="s">
        <v>76</v>
      </c>
      <c r="C27" s="18">
        <v>18</v>
      </c>
      <c r="D27" s="17">
        <v>37.299999999999997</v>
      </c>
      <c r="E27" s="16" t="s">
        <v>182</v>
      </c>
      <c r="F27" s="16">
        <v>671.4</v>
      </c>
      <c r="G27" s="4" t="s">
        <v>183</v>
      </c>
      <c r="H27" s="16">
        <v>3</v>
      </c>
      <c r="I27" s="15" t="s">
        <v>247</v>
      </c>
    </row>
    <row r="28" spans="1:9" x14ac:dyDescent="0.25">
      <c r="A28" s="20" t="s">
        <v>186</v>
      </c>
      <c r="B28" s="19" t="s">
        <v>79</v>
      </c>
      <c r="C28" s="18">
        <v>18</v>
      </c>
      <c r="D28" s="17">
        <v>39.700000000000003</v>
      </c>
      <c r="E28" s="16" t="s">
        <v>182</v>
      </c>
      <c r="F28" s="16">
        <v>714.6</v>
      </c>
      <c r="G28" s="4" t="s">
        <v>183</v>
      </c>
      <c r="H28" s="16">
        <v>3</v>
      </c>
      <c r="I28" s="15" t="s">
        <v>247</v>
      </c>
    </row>
    <row r="29" spans="1:9" x14ac:dyDescent="0.25">
      <c r="A29" s="20" t="s">
        <v>186</v>
      </c>
      <c r="B29" s="19" t="s">
        <v>80</v>
      </c>
      <c r="C29" s="18">
        <v>18</v>
      </c>
      <c r="D29" s="17">
        <v>34.4</v>
      </c>
      <c r="E29" s="16" t="s">
        <v>182</v>
      </c>
      <c r="F29" s="16">
        <v>619.19999999999993</v>
      </c>
      <c r="G29" s="4" t="s">
        <v>183</v>
      </c>
      <c r="H29" s="16">
        <v>3</v>
      </c>
      <c r="I29" s="15" t="s">
        <v>247</v>
      </c>
    </row>
    <row r="30" spans="1:9" x14ac:dyDescent="0.25">
      <c r="A30" s="20" t="s">
        <v>186</v>
      </c>
      <c r="B30" s="19" t="s">
        <v>81</v>
      </c>
      <c r="C30" s="18">
        <v>18</v>
      </c>
      <c r="D30" s="17">
        <v>34.4</v>
      </c>
      <c r="E30" s="16" t="s">
        <v>182</v>
      </c>
      <c r="F30" s="16">
        <v>619.19999999999993</v>
      </c>
      <c r="G30" s="4" t="s">
        <v>183</v>
      </c>
      <c r="H30" s="16">
        <v>3</v>
      </c>
      <c r="I30" s="15" t="s">
        <v>247</v>
      </c>
    </row>
    <row r="31" spans="1:9" x14ac:dyDescent="0.25">
      <c r="A31" s="20" t="s">
        <v>186</v>
      </c>
      <c r="B31" s="19" t="s">
        <v>83</v>
      </c>
      <c r="C31" s="18">
        <v>18</v>
      </c>
      <c r="D31" s="17">
        <v>31.4</v>
      </c>
      <c r="E31" s="16" t="s">
        <v>182</v>
      </c>
      <c r="F31" s="16">
        <v>565.19999999999993</v>
      </c>
      <c r="G31" s="4" t="s">
        <v>183</v>
      </c>
      <c r="H31" s="16">
        <v>3</v>
      </c>
      <c r="I31" s="15" t="s">
        <v>247</v>
      </c>
    </row>
    <row r="32" spans="1:9" x14ac:dyDescent="0.25">
      <c r="A32" s="20" t="s">
        <v>186</v>
      </c>
      <c r="B32" s="19" t="s">
        <v>89</v>
      </c>
      <c r="C32" s="18">
        <v>18</v>
      </c>
      <c r="D32" s="17">
        <v>34.4</v>
      </c>
      <c r="E32" s="16" t="s">
        <v>182</v>
      </c>
      <c r="F32" s="16">
        <v>619.19999999999993</v>
      </c>
      <c r="G32" s="4" t="s">
        <v>183</v>
      </c>
      <c r="H32" s="16">
        <v>3</v>
      </c>
      <c r="I32" s="15" t="s">
        <v>247</v>
      </c>
    </row>
    <row r="33" spans="1:9" ht="16.5" customHeight="1" x14ac:dyDescent="0.25">
      <c r="A33" s="20" t="s">
        <v>186</v>
      </c>
      <c r="B33" s="19" t="s">
        <v>77</v>
      </c>
      <c r="C33" s="18">
        <v>17.3</v>
      </c>
      <c r="D33" s="17">
        <v>38.6</v>
      </c>
      <c r="E33" s="16" t="s">
        <v>182</v>
      </c>
      <c r="F33" s="16">
        <v>667.78000000000009</v>
      </c>
      <c r="G33" s="4" t="s">
        <v>183</v>
      </c>
      <c r="H33" s="16">
        <v>3</v>
      </c>
      <c r="I33" s="15" t="s">
        <v>247</v>
      </c>
    </row>
    <row r="34" spans="1:9" x14ac:dyDescent="0.25">
      <c r="A34" s="20" t="s">
        <v>186</v>
      </c>
      <c r="B34" s="19" t="s">
        <v>71</v>
      </c>
      <c r="C34" s="18">
        <v>17.2</v>
      </c>
      <c r="D34" s="17">
        <v>34.200000000000003</v>
      </c>
      <c r="E34" s="16" t="s">
        <v>182</v>
      </c>
      <c r="F34" s="16">
        <v>588.24</v>
      </c>
      <c r="G34" s="4" t="s">
        <v>183</v>
      </c>
      <c r="H34" s="16">
        <v>3</v>
      </c>
      <c r="I34" s="15" t="s">
        <v>247</v>
      </c>
    </row>
    <row r="35" spans="1:9" x14ac:dyDescent="0.25">
      <c r="A35" s="20" t="s">
        <v>186</v>
      </c>
      <c r="B35" s="19" t="s">
        <v>84</v>
      </c>
      <c r="C35" s="18">
        <v>18</v>
      </c>
      <c r="D35" s="17">
        <v>34.200000000000003</v>
      </c>
      <c r="E35" s="16" t="s">
        <v>15</v>
      </c>
      <c r="F35" s="16">
        <v>615.6</v>
      </c>
      <c r="G35" s="16" t="s">
        <v>180</v>
      </c>
      <c r="H35" s="16">
        <v>3</v>
      </c>
      <c r="I35" s="15" t="s">
        <v>247</v>
      </c>
    </row>
    <row r="36" spans="1:9" x14ac:dyDescent="0.25">
      <c r="A36" s="20" t="s">
        <v>186</v>
      </c>
      <c r="B36" s="19" t="s">
        <v>86</v>
      </c>
      <c r="C36" s="18">
        <v>18</v>
      </c>
      <c r="D36" s="17">
        <v>42.9</v>
      </c>
      <c r="E36" s="16" t="s">
        <v>15</v>
      </c>
      <c r="F36" s="16">
        <v>772.19999999999993</v>
      </c>
      <c r="G36" s="16" t="s">
        <v>180</v>
      </c>
      <c r="H36" s="16">
        <v>3</v>
      </c>
      <c r="I36" s="15" t="s">
        <v>247</v>
      </c>
    </row>
    <row r="37" spans="1:9" x14ac:dyDescent="0.25">
      <c r="A37" s="20" t="s">
        <v>186</v>
      </c>
      <c r="B37" s="19" t="s">
        <v>88</v>
      </c>
      <c r="C37" s="18">
        <v>18</v>
      </c>
      <c r="D37" s="17">
        <v>34.200000000000003</v>
      </c>
      <c r="E37" s="16" t="s">
        <v>15</v>
      </c>
      <c r="F37" s="16">
        <v>615.6</v>
      </c>
      <c r="G37" s="16" t="s">
        <v>180</v>
      </c>
      <c r="H37" s="16">
        <v>3</v>
      </c>
      <c r="I37" s="15" t="s">
        <v>247</v>
      </c>
    </row>
    <row r="38" spans="1:9" x14ac:dyDescent="0.25">
      <c r="A38" s="20" t="s">
        <v>186</v>
      </c>
      <c r="B38" s="19" t="s">
        <v>188</v>
      </c>
      <c r="C38" s="18">
        <v>17.2</v>
      </c>
      <c r="D38" s="17">
        <v>34.200000000000003</v>
      </c>
      <c r="E38" s="16" t="s">
        <v>182</v>
      </c>
      <c r="F38" s="16">
        <v>588.24</v>
      </c>
      <c r="G38" s="4" t="s">
        <v>183</v>
      </c>
      <c r="H38" s="16">
        <v>3</v>
      </c>
      <c r="I38" s="15" t="s">
        <v>261</v>
      </c>
    </row>
    <row r="39" spans="1:9" x14ac:dyDescent="0.25">
      <c r="A39" s="20" t="s">
        <v>186</v>
      </c>
      <c r="B39" s="19" t="s">
        <v>189</v>
      </c>
      <c r="C39" s="18">
        <v>17.3</v>
      </c>
      <c r="D39" s="17">
        <v>38.6</v>
      </c>
      <c r="E39" s="16" t="s">
        <v>182</v>
      </c>
      <c r="F39" s="16">
        <v>667.78000000000009</v>
      </c>
      <c r="G39" s="4" t="s">
        <v>183</v>
      </c>
      <c r="H39" s="16">
        <v>3</v>
      </c>
      <c r="I39" s="15" t="s">
        <v>261</v>
      </c>
    </row>
    <row r="40" spans="1:9" x14ac:dyDescent="0.25">
      <c r="A40" s="20" t="s">
        <v>186</v>
      </c>
      <c r="B40" s="19" t="s">
        <v>190</v>
      </c>
      <c r="C40" s="18">
        <v>20.2</v>
      </c>
      <c r="D40" s="17">
        <v>26.2</v>
      </c>
      <c r="E40" s="16" t="s">
        <v>182</v>
      </c>
      <c r="F40" s="16">
        <v>529.24</v>
      </c>
      <c r="G40" s="4" t="s">
        <v>183</v>
      </c>
      <c r="H40" s="16">
        <v>3</v>
      </c>
      <c r="I40" s="15" t="s">
        <v>261</v>
      </c>
    </row>
    <row r="41" spans="1:9" x14ac:dyDescent="0.25">
      <c r="A41" s="20" t="s">
        <v>186</v>
      </c>
      <c r="B41" s="19" t="s">
        <v>191</v>
      </c>
      <c r="C41" s="18">
        <v>18</v>
      </c>
      <c r="D41" s="17">
        <v>39.700000000000003</v>
      </c>
      <c r="E41" s="16" t="s">
        <v>182</v>
      </c>
      <c r="F41" s="16">
        <v>714.6</v>
      </c>
      <c r="G41" s="4" t="s">
        <v>183</v>
      </c>
      <c r="H41" s="16">
        <v>3</v>
      </c>
      <c r="I41" s="15" t="s">
        <v>261</v>
      </c>
    </row>
    <row r="42" spans="1:9" x14ac:dyDescent="0.25">
      <c r="A42" s="20" t="s">
        <v>186</v>
      </c>
      <c r="B42" s="19" t="s">
        <v>195</v>
      </c>
      <c r="C42" s="18">
        <v>18</v>
      </c>
      <c r="D42" s="17">
        <v>25.3</v>
      </c>
      <c r="E42" s="16" t="s">
        <v>182</v>
      </c>
      <c r="F42" s="16">
        <v>455.40000000000003</v>
      </c>
      <c r="G42" s="4" t="s">
        <v>183</v>
      </c>
      <c r="H42" s="16">
        <v>3</v>
      </c>
      <c r="I42" s="15" t="s">
        <v>261</v>
      </c>
    </row>
    <row r="43" spans="1:9" x14ac:dyDescent="0.25">
      <c r="A43" s="20" t="s">
        <v>186</v>
      </c>
      <c r="B43" s="19" t="s">
        <v>196</v>
      </c>
      <c r="C43" s="18">
        <v>18</v>
      </c>
      <c r="D43" s="17">
        <v>25.3</v>
      </c>
      <c r="E43" s="16" t="s">
        <v>182</v>
      </c>
      <c r="F43" s="16">
        <v>455.40000000000003</v>
      </c>
      <c r="G43" s="4" t="s">
        <v>183</v>
      </c>
      <c r="H43" s="16">
        <v>3</v>
      </c>
      <c r="I43" s="15" t="s">
        <v>261</v>
      </c>
    </row>
    <row r="44" spans="1:9" x14ac:dyDescent="0.25">
      <c r="A44" s="20" t="s">
        <v>186</v>
      </c>
      <c r="B44" s="19" t="s">
        <v>197</v>
      </c>
      <c r="C44" s="18">
        <v>17.3</v>
      </c>
      <c r="D44" s="17">
        <v>38.6</v>
      </c>
      <c r="E44" s="16" t="s">
        <v>182</v>
      </c>
      <c r="F44" s="16">
        <v>667.78000000000009</v>
      </c>
      <c r="G44" s="4" t="s">
        <v>183</v>
      </c>
      <c r="H44" s="16">
        <v>3</v>
      </c>
      <c r="I44" s="15" t="s">
        <v>261</v>
      </c>
    </row>
    <row r="45" spans="1:9" x14ac:dyDescent="0.25">
      <c r="A45" s="20" t="s">
        <v>186</v>
      </c>
      <c r="B45" s="19" t="s">
        <v>198</v>
      </c>
      <c r="C45" s="18">
        <v>17.3</v>
      </c>
      <c r="D45" s="17">
        <v>38.6</v>
      </c>
      <c r="E45" s="16" t="s">
        <v>182</v>
      </c>
      <c r="F45" s="16">
        <v>667.78000000000009</v>
      </c>
      <c r="G45" s="4" t="s">
        <v>183</v>
      </c>
      <c r="H45" s="16">
        <v>3</v>
      </c>
      <c r="I45" s="15" t="s">
        <v>261</v>
      </c>
    </row>
    <row r="46" spans="1:9" x14ac:dyDescent="0.25">
      <c r="A46" s="20" t="s">
        <v>186</v>
      </c>
      <c r="B46" s="19" t="s">
        <v>199</v>
      </c>
      <c r="C46" s="18">
        <v>17.3</v>
      </c>
      <c r="D46" s="17">
        <v>38.6</v>
      </c>
      <c r="E46" s="16" t="s">
        <v>182</v>
      </c>
      <c r="F46" s="16">
        <v>667.78000000000009</v>
      </c>
      <c r="G46" s="4" t="s">
        <v>183</v>
      </c>
      <c r="H46" s="16">
        <v>3</v>
      </c>
      <c r="I46" s="15" t="s">
        <v>261</v>
      </c>
    </row>
    <row r="47" spans="1:9" x14ac:dyDescent="0.25">
      <c r="A47" s="20" t="s">
        <v>186</v>
      </c>
      <c r="B47" s="19" t="s">
        <v>200</v>
      </c>
      <c r="C47" s="18">
        <v>18</v>
      </c>
      <c r="D47" s="17">
        <v>33.1</v>
      </c>
      <c r="E47" s="16" t="s">
        <v>182</v>
      </c>
      <c r="F47" s="16">
        <v>595.80000000000007</v>
      </c>
      <c r="G47" s="4" t="s">
        <v>183</v>
      </c>
      <c r="H47" s="16">
        <v>3</v>
      </c>
      <c r="I47" s="15" t="s">
        <v>261</v>
      </c>
    </row>
    <row r="48" spans="1:9" x14ac:dyDescent="0.25">
      <c r="A48" s="20" t="s">
        <v>186</v>
      </c>
      <c r="B48" s="19" t="s">
        <v>201</v>
      </c>
      <c r="C48" s="18">
        <v>18</v>
      </c>
      <c r="D48" s="17">
        <v>36.799999999999997</v>
      </c>
      <c r="E48" s="16" t="s">
        <v>182</v>
      </c>
      <c r="F48" s="16">
        <v>662.4</v>
      </c>
      <c r="G48" s="4" t="s">
        <v>183</v>
      </c>
      <c r="H48" s="16">
        <v>3</v>
      </c>
      <c r="I48" s="15" t="s">
        <v>261</v>
      </c>
    </row>
    <row r="49" spans="1:9" x14ac:dyDescent="0.25">
      <c r="A49" s="20" t="s">
        <v>186</v>
      </c>
      <c r="B49" s="19" t="s">
        <v>202</v>
      </c>
      <c r="C49" s="18">
        <v>18</v>
      </c>
      <c r="D49" s="17">
        <v>3.9300000000000002E-2</v>
      </c>
      <c r="E49" s="16" t="s">
        <v>184</v>
      </c>
      <c r="F49" s="16">
        <v>0.70740000000000003</v>
      </c>
      <c r="G49" s="4" t="s">
        <v>185</v>
      </c>
      <c r="H49" s="16">
        <v>3</v>
      </c>
      <c r="I49" s="15" t="s">
        <v>261</v>
      </c>
    </row>
    <row r="50" spans="1:9" x14ac:dyDescent="0.25">
      <c r="A50" s="20" t="s">
        <v>186</v>
      </c>
      <c r="B50" s="19" t="s">
        <v>203</v>
      </c>
      <c r="C50" s="18">
        <v>18</v>
      </c>
      <c r="D50" s="17">
        <v>3.9300000000000002E-2</v>
      </c>
      <c r="E50" s="16" t="s">
        <v>184</v>
      </c>
      <c r="F50" s="16">
        <v>0.70740000000000003</v>
      </c>
      <c r="G50" s="4" t="s">
        <v>185</v>
      </c>
      <c r="H50" s="16">
        <v>3</v>
      </c>
      <c r="I50" s="15" t="s">
        <v>261</v>
      </c>
    </row>
  </sheetData>
  <mergeCells count="6">
    <mergeCell ref="D3:E3"/>
    <mergeCell ref="F3:G3"/>
    <mergeCell ref="D1:E1"/>
    <mergeCell ref="F1:G1"/>
    <mergeCell ref="D2:E2"/>
    <mergeCell ref="F2:G2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81c2681-db7b-4a56-9abd-a3238a78f6b2">
      <Terms xmlns="http://schemas.microsoft.com/office/infopath/2007/PartnerControls"/>
    </lcf76f155ced4ddcb4097134ff3c332f>
    <TaxCatchAll xmlns="a95247a4-6a6b-40fb-87b6-0fb2f012c53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1B2BE74D025469E1D0E28F10DD2C8" ma:contentTypeVersion="6" ma:contentTypeDescription="Create a new document." ma:contentTypeScope="" ma:versionID="29ebb019d354d671b53245c09b1e2d80">
  <xsd:schema xmlns:xsd="http://www.w3.org/2001/XMLSchema" xmlns:xs="http://www.w3.org/2001/XMLSchema" xmlns:p="http://schemas.microsoft.com/office/2006/metadata/properties" xmlns:ns1="http://schemas.microsoft.com/sharepoint/v3" xmlns:ns2="b98728ac-f998-415c-abee-6b046fb1441e" xmlns:ns3="d869c146-c82e-4435-92e4-da91542262fd" xmlns:ns4="d81c2681-db7b-4a56-9abd-a3238a78f6b2" xmlns:ns5="a95247a4-6a6b-40fb-87b6-0fb2f012c536" targetNamespace="http://schemas.microsoft.com/office/2006/metadata/properties" ma:root="true" ma:fieldsID="25bdb6a5bc4ffbbe42be2b4704fa052c" ns1:_="" ns2:_="" ns3:_="" ns4:_="" ns5:_="">
    <xsd:import namespace="http://schemas.microsoft.com/sharepoint/v3"/>
    <xsd:import namespace="b98728ac-f998-415c-abee-6b046fb1441e"/>
    <xsd:import namespace="d869c146-c82e-4435-92e4-da91542262fd"/>
    <xsd:import namespace="d81c2681-db7b-4a56-9abd-a3238a78f6b2"/>
    <xsd:import namespace="a95247a4-6a6b-40fb-87b6-0fb2f012c5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728ac-f998-415c-abee-6b046fb14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9c146-c82e-4435-92e4-da915422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c2681-db7b-4a56-9abd-a3238a78f6b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c081d5d-8f15-4d39-99f9-175405a358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247a4-6a6b-40fb-87b6-0fb2f012c536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63ff4dd4-e1ac-40df-be8e-b1e036f80c8e}" ma:internalName="TaxCatchAll" ma:showField="CatchAllData" ma:web="a95247a4-6a6b-40fb-87b6-0fb2f012c5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42738-8E3F-4A3B-9B0E-6B9F827A65A1}">
  <ds:schemaRefs>
    <ds:schemaRef ds:uri="http://schemas.microsoft.com/office/infopath/2007/PartnerControls"/>
    <ds:schemaRef ds:uri="http://purl.org/dc/elements/1.1/"/>
    <ds:schemaRef ds:uri="b98728ac-f998-415c-abee-6b046fb1441e"/>
    <ds:schemaRef ds:uri="http://www.w3.org/XML/1998/namespace"/>
    <ds:schemaRef ds:uri="http://purl.org/dc/dcmitype/"/>
    <ds:schemaRef ds:uri="http://schemas.microsoft.com/office/2006/documentManagement/types"/>
    <ds:schemaRef ds:uri="http://schemas.microsoft.com/sharepoint/v3"/>
    <ds:schemaRef ds:uri="http://purl.org/dc/terms/"/>
    <ds:schemaRef ds:uri="http://schemas.openxmlformats.org/package/2006/metadata/core-properties"/>
    <ds:schemaRef ds:uri="a95247a4-6a6b-40fb-87b6-0fb2f012c536"/>
    <ds:schemaRef ds:uri="d81c2681-db7b-4a56-9abd-a3238a78f6b2"/>
    <ds:schemaRef ds:uri="d869c146-c82e-4435-92e4-da91542262f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06DEA28-2144-46FB-AF6A-C7A5544D04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085EA1-BB35-4B7B-88D1-CEC118547559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6D6754A2-6E80-48A7-BB1C-E2EF56261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98728ac-f998-415c-abee-6b046fb1441e"/>
    <ds:schemaRef ds:uri="d869c146-c82e-4435-92e4-da91542262fd"/>
    <ds:schemaRef ds:uri="d81c2681-db7b-4a56-9abd-a3238a78f6b2"/>
    <ds:schemaRef ds:uri="a95247a4-6a6b-40fb-87b6-0fb2f012c5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6a1c6b2-52d5-49b7-9598-2998b6301fb2}" enabled="1" method="Privileged" siteId="{8c3c81bc-2b3c-44af-b3f7-6f620b3910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37</vt:i4>
      </vt:variant>
    </vt:vector>
  </HeadingPairs>
  <TitlesOfParts>
    <vt:vector size="64" baseType="lpstr">
      <vt:lpstr>Introduction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25</vt:lpstr>
      <vt:lpstr>Table 26</vt:lpstr>
      <vt:lpstr>Table 27</vt:lpstr>
      <vt:lpstr>Table 28</vt:lpstr>
      <vt:lpstr>Table 29</vt:lpstr>
      <vt:lpstr>Energy - Scope 1 </vt:lpstr>
      <vt:lpstr>Energy - Scope 3</vt:lpstr>
      <vt:lpstr>'Table 11'!_ftnref1</vt:lpstr>
      <vt:lpstr>'Table 1'!_Ref109238417</vt:lpstr>
      <vt:lpstr>'Table 12'!_Ref110614929</vt:lpstr>
      <vt:lpstr>'Table 10'!_Ref112776960</vt:lpstr>
      <vt:lpstr>'Table 9'!_Ref112777011</vt:lpstr>
      <vt:lpstr>'Table 11'!_Ref112777825</vt:lpstr>
      <vt:lpstr>'Table 16'!_Ref112778789</vt:lpstr>
      <vt:lpstr>'Table 17'!_Ref113010083</vt:lpstr>
      <vt:lpstr>'Table 18'!_Ref113010721</vt:lpstr>
      <vt:lpstr>'Table 26'!_Ref113286384</vt:lpstr>
      <vt:lpstr>'Table 25'!_Ref114225525</vt:lpstr>
      <vt:lpstr>'Table 3'!_Ref12874733</vt:lpstr>
      <vt:lpstr>'Table 4'!_Ref12874802</vt:lpstr>
      <vt:lpstr>'Table 7'!_Ref12874843</vt:lpstr>
      <vt:lpstr>'Table 13'!_Ref12877349</vt:lpstr>
      <vt:lpstr>'Table 5'!_Ref12877968</vt:lpstr>
      <vt:lpstr>'Table 6'!_Ref12877981</vt:lpstr>
      <vt:lpstr>'Table 14'!_Ref12878043</vt:lpstr>
      <vt:lpstr>'Table 2'!_Toc126771384</vt:lpstr>
      <vt:lpstr>'Table 4'!_Toc175924057</vt:lpstr>
      <vt:lpstr>'Table 5'!_Toc175924058</vt:lpstr>
      <vt:lpstr>'Table 6'!_Toc175924059</vt:lpstr>
      <vt:lpstr>'Table 7'!_Toc175924060</vt:lpstr>
      <vt:lpstr>'Table 8'!_Toc175924061</vt:lpstr>
      <vt:lpstr>'Table 9'!_Toc175924062</vt:lpstr>
      <vt:lpstr>'Table 11'!_Toc175924064</vt:lpstr>
      <vt:lpstr>'Table 12'!_Toc175924065</vt:lpstr>
      <vt:lpstr>'Table 13'!_Toc175924066</vt:lpstr>
      <vt:lpstr>'Table 14'!_Toc175924067</vt:lpstr>
      <vt:lpstr>'Table 15'!_Toc175924068</vt:lpstr>
      <vt:lpstr>'Table 16'!_Toc175924069</vt:lpstr>
      <vt:lpstr>'Table 17'!_Toc175924070</vt:lpstr>
      <vt:lpstr>'Table 18'!_Toc175924071</vt:lpstr>
      <vt:lpstr>'Table 19'!_Toc175924072</vt:lpstr>
      <vt:lpstr>'Table 27'!_Toc175924080</vt:lpstr>
      <vt:lpstr>'Table 28'!_Toc175924081</vt:lpstr>
      <vt:lpstr>'Table 29'!_Toc175924082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Greenhouse Account Workbook 2025</dc:title>
  <dc:subject/>
  <dc:creator>Australian Government</dc:creator>
  <cp:keywords/>
  <dc:description/>
  <cp:lastModifiedBy>Lien NGUYEN</cp:lastModifiedBy>
  <cp:revision/>
  <dcterms:created xsi:type="dcterms:W3CDTF">2022-09-20T04:34:24Z</dcterms:created>
  <dcterms:modified xsi:type="dcterms:W3CDTF">2025-09-01T06:35:02Z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0x010100D001B2BE74D025469E1D0E28F10DD2C8</vt:lpwstr>
  </property>
  <property fmtid="{D5CDD505-2E9C-101B-9397-08002B2CF9AE}" pid="5" name="MediaServiceImageTags">
    <vt:lpwstr/>
  </property>
</Properties>
</file>